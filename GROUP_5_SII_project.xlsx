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tteo\0001_LM_SECONDOSEMESTRE\INSURANCE &amp; ECONOMETRICS\INSURANCE PROJECT\"/>
    </mc:Choice>
  </mc:AlternateContent>
  <xr:revisionPtr revIDLastSave="0" documentId="13_ncr:1_{80FBB297-43A4-470C-AA99-DDCFB6287C86}" xr6:coauthVersionLast="47" xr6:coauthVersionMax="47" xr10:uidLastSave="{00000000-0000-0000-0000-000000000000}"/>
  <bookViews>
    <workbookView xWindow="-108" yWindow="-108" windowWidth="23256" windowHeight="12456" tabRatio="870" firstSheet="7" activeTab="16" xr2:uid="{5B98AC01-57DD-F448-8176-C9509298E4A7}"/>
  </bookViews>
  <sheets>
    <sheet name="SUMMARY" sheetId="24" r:id="rId1"/>
    <sheet name="RATES" sheetId="1" r:id="rId2"/>
    <sheet name="LIFE TABLE MALE FEMALE" sheetId="2" r:id="rId3"/>
    <sheet name="LIFE TABLE MALE" sheetId="3" r:id="rId4"/>
    <sheet name="DATA" sheetId="5" r:id="rId5"/>
    <sheet name="BASE" sheetId="4" r:id="rId6"/>
    <sheet name="EQ STRESS 1" sheetId="6" r:id="rId7"/>
    <sheet name="PROPERTY STRESS" sheetId="8" r:id="rId8"/>
    <sheet name="IR UP " sheetId="9" r:id="rId9"/>
    <sheet name="IR DOWN " sheetId="10" r:id="rId10"/>
    <sheet name="EXPENSE STRESS" sheetId="17" r:id="rId11"/>
    <sheet name="MORTALITY" sheetId="18" r:id="rId12"/>
    <sheet name="LIFE CAT" sheetId="19" r:id="rId13"/>
    <sheet name="LAPSE STRESS UP " sheetId="20" r:id="rId14"/>
    <sheet name="LAPSE STRESS DOWN" sheetId="21" r:id="rId15"/>
    <sheet name="LAPSE MASS" sheetId="22" r:id="rId16"/>
    <sheet name="BSCR" sheetId="2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4" l="1"/>
  <c r="D15" i="24"/>
  <c r="E15" i="24"/>
  <c r="F15" i="24"/>
  <c r="H15" i="24"/>
  <c r="H14" i="24"/>
  <c r="F14" i="24"/>
  <c r="E14" i="24"/>
  <c r="D14" i="24"/>
  <c r="H13" i="24"/>
  <c r="F13" i="24"/>
  <c r="E13" i="24"/>
  <c r="D13" i="24"/>
  <c r="H12" i="24"/>
  <c r="F12" i="24"/>
  <c r="E12" i="24"/>
  <c r="D12" i="24"/>
  <c r="H11" i="24"/>
  <c r="F11" i="24"/>
  <c r="E11" i="24"/>
  <c r="D11" i="24"/>
  <c r="H10" i="24"/>
  <c r="F10" i="24"/>
  <c r="E10" i="24"/>
  <c r="D10" i="24"/>
  <c r="H9" i="24"/>
  <c r="F9" i="24"/>
  <c r="E9" i="24"/>
  <c r="D9" i="24"/>
  <c r="H8" i="24"/>
  <c r="F8" i="24"/>
  <c r="E8" i="24"/>
  <c r="D8" i="24"/>
  <c r="H7" i="24"/>
  <c r="F7" i="24"/>
  <c r="E7" i="24"/>
  <c r="D7" i="24"/>
  <c r="D6" i="24"/>
  <c r="V5" i="23"/>
  <c r="P11" i="24"/>
  <c r="Q11" i="24"/>
  <c r="P12" i="24"/>
  <c r="Q12" i="24"/>
  <c r="Q10" i="24"/>
  <c r="P10" i="24"/>
  <c r="D5" i="24"/>
  <c r="Q63" i="4"/>
  <c r="P5" i="24"/>
  <c r="L5" i="24"/>
  <c r="L6" i="24"/>
  <c r="M6" i="24"/>
  <c r="L7" i="24"/>
  <c r="M7" i="24"/>
  <c r="L8" i="24"/>
  <c r="M8" i="24"/>
  <c r="L9" i="24"/>
  <c r="M9" i="24"/>
  <c r="L10" i="24"/>
  <c r="M10" i="24"/>
  <c r="L11" i="24"/>
  <c r="M11" i="24"/>
  <c r="L12" i="24"/>
  <c r="M12" i="24"/>
  <c r="L13" i="24"/>
  <c r="M13" i="24"/>
  <c r="L14" i="24"/>
  <c r="M14" i="24"/>
  <c r="H6" i="24"/>
  <c r="H5" i="24"/>
  <c r="F6" i="24"/>
  <c r="F5" i="24"/>
  <c r="G7" i="24" s="1"/>
  <c r="E6" i="24"/>
  <c r="E5" i="24"/>
  <c r="I3" i="22"/>
  <c r="F3" i="22"/>
  <c r="Q52" i="22"/>
  <c r="Q51" i="22"/>
  <c r="K51" i="22"/>
  <c r="Q50" i="22"/>
  <c r="K50" i="22"/>
  <c r="Q49" i="22"/>
  <c r="K49" i="22"/>
  <c r="Q48" i="22"/>
  <c r="K48" i="22"/>
  <c r="Q47" i="22"/>
  <c r="K47" i="22"/>
  <c r="Q46" i="22"/>
  <c r="K46" i="22"/>
  <c r="Q45" i="22"/>
  <c r="K45" i="22"/>
  <c r="Q44" i="22"/>
  <c r="K44" i="22"/>
  <c r="Q43" i="22"/>
  <c r="K43" i="22"/>
  <c r="Q42" i="22"/>
  <c r="K42" i="22"/>
  <c r="Q41" i="22"/>
  <c r="K41" i="22"/>
  <c r="Q40" i="22"/>
  <c r="K40" i="22"/>
  <c r="Q39" i="22"/>
  <c r="K39" i="22"/>
  <c r="Q38" i="22"/>
  <c r="K38" i="22"/>
  <c r="Q37" i="22"/>
  <c r="K37" i="22"/>
  <c r="Q36" i="22"/>
  <c r="K36" i="22"/>
  <c r="Q35" i="22"/>
  <c r="K35" i="22"/>
  <c r="Q34" i="22"/>
  <c r="K34" i="22"/>
  <c r="Q33" i="22"/>
  <c r="K33" i="22"/>
  <c r="Q32" i="22"/>
  <c r="K32" i="22"/>
  <c r="Q31" i="22"/>
  <c r="K31" i="22"/>
  <c r="Q30" i="22"/>
  <c r="K30" i="22"/>
  <c r="Q29" i="22"/>
  <c r="K29" i="22"/>
  <c r="Q28" i="22"/>
  <c r="K28" i="22"/>
  <c r="Q27" i="22"/>
  <c r="K27" i="22"/>
  <c r="Q26" i="22"/>
  <c r="K26" i="22"/>
  <c r="Q25" i="22"/>
  <c r="K25" i="22"/>
  <c r="Q24" i="22"/>
  <c r="K24" i="22"/>
  <c r="Q23" i="22"/>
  <c r="K23" i="22"/>
  <c r="Q22" i="22"/>
  <c r="K22" i="22"/>
  <c r="Q21" i="22"/>
  <c r="K21" i="22"/>
  <c r="Q20" i="22"/>
  <c r="K20" i="22"/>
  <c r="Q19" i="22"/>
  <c r="K19" i="22"/>
  <c r="Q18" i="22"/>
  <c r="K18" i="22"/>
  <c r="Q17" i="22"/>
  <c r="K17" i="22"/>
  <c r="Q16" i="22"/>
  <c r="K16" i="22"/>
  <c r="Q15" i="22"/>
  <c r="K15" i="22"/>
  <c r="Q14" i="22"/>
  <c r="K14" i="22"/>
  <c r="Q13" i="22"/>
  <c r="K13" i="22"/>
  <c r="Q12" i="22"/>
  <c r="K12" i="22"/>
  <c r="Q11" i="22"/>
  <c r="K11" i="22"/>
  <c r="Q10" i="22"/>
  <c r="K10" i="22"/>
  <c r="Q9" i="22"/>
  <c r="K9" i="22"/>
  <c r="Q8" i="22"/>
  <c r="K8" i="22"/>
  <c r="Q7" i="22"/>
  <c r="K7" i="22"/>
  <c r="Q6" i="22"/>
  <c r="K6" i="22"/>
  <c r="Q5" i="22"/>
  <c r="K5" i="22"/>
  <c r="Q4" i="22"/>
  <c r="K4" i="22"/>
  <c r="Q3" i="22"/>
  <c r="K3" i="22"/>
  <c r="E3" i="22"/>
  <c r="E4" i="22" s="1"/>
  <c r="E5" i="22" s="1"/>
  <c r="E6" i="22" s="1"/>
  <c r="E7" i="22" s="1"/>
  <c r="E8" i="22" s="1"/>
  <c r="E9" i="22" s="1"/>
  <c r="E10" i="22" s="1"/>
  <c r="E11" i="22" s="1"/>
  <c r="E12" i="22" s="1"/>
  <c r="E13" i="22" s="1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Q2" i="22"/>
  <c r="F2" i="22"/>
  <c r="E2" i="22"/>
  <c r="C2" i="22"/>
  <c r="C3" i="22" s="1"/>
  <c r="B2" i="22"/>
  <c r="B3" i="22" s="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3" i="21"/>
  <c r="F4" i="21"/>
  <c r="F5" i="21"/>
  <c r="F6" i="21" s="1"/>
  <c r="F7" i="21" s="1"/>
  <c r="F8" i="21" s="1"/>
  <c r="F9" i="21" s="1"/>
  <c r="F10" i="21" s="1"/>
  <c r="F11" i="21" s="1"/>
  <c r="F12" i="21" s="1"/>
  <c r="F13" i="21" s="1"/>
  <c r="F14" i="21" s="1"/>
  <c r="F15" i="21" s="1"/>
  <c r="F16" i="21" s="1"/>
  <c r="F17" i="21" s="1"/>
  <c r="F18" i="21" s="1"/>
  <c r="F19" i="21" s="1"/>
  <c r="F20" i="21" s="1"/>
  <c r="F21" i="21" s="1"/>
  <c r="F22" i="21" s="1"/>
  <c r="F23" i="21" s="1"/>
  <c r="F24" i="21" s="1"/>
  <c r="F25" i="21" s="1"/>
  <c r="F26" i="21" s="1"/>
  <c r="F27" i="21" s="1"/>
  <c r="F28" i="21" s="1"/>
  <c r="F29" i="21" s="1"/>
  <c r="F30" i="21" s="1"/>
  <c r="F31" i="21" s="1"/>
  <c r="F32" i="21" s="1"/>
  <c r="F33" i="21" s="1"/>
  <c r="F34" i="21" s="1"/>
  <c r="F35" i="21" s="1"/>
  <c r="F36" i="21" s="1"/>
  <c r="F37" i="21" s="1"/>
  <c r="F38" i="21" s="1"/>
  <c r="F39" i="21" s="1"/>
  <c r="F40" i="21" s="1"/>
  <c r="F41" i="21" s="1"/>
  <c r="F42" i="21" s="1"/>
  <c r="F43" i="21" s="1"/>
  <c r="F44" i="21" s="1"/>
  <c r="F45" i="21" s="1"/>
  <c r="F46" i="21" s="1"/>
  <c r="F47" i="21" s="1"/>
  <c r="F48" i="21" s="1"/>
  <c r="F49" i="21" s="1"/>
  <c r="F50" i="21" s="1"/>
  <c r="F51" i="21" s="1"/>
  <c r="F52" i="21" s="1"/>
  <c r="F3" i="21"/>
  <c r="Q52" i="21"/>
  <c r="Q51" i="21"/>
  <c r="K51" i="21"/>
  <c r="Q50" i="21"/>
  <c r="K50" i="21"/>
  <c r="Q49" i="21"/>
  <c r="K49" i="21"/>
  <c r="Q48" i="21"/>
  <c r="K48" i="21"/>
  <c r="Q47" i="21"/>
  <c r="K47" i="21"/>
  <c r="Q46" i="21"/>
  <c r="K46" i="21"/>
  <c r="Q45" i="21"/>
  <c r="K45" i="21"/>
  <c r="Q44" i="21"/>
  <c r="K44" i="21"/>
  <c r="Q43" i="21"/>
  <c r="K43" i="21"/>
  <c r="Q42" i="21"/>
  <c r="K42" i="21"/>
  <c r="Q41" i="21"/>
  <c r="K41" i="21"/>
  <c r="Q40" i="21"/>
  <c r="K40" i="21"/>
  <c r="Q39" i="21"/>
  <c r="K39" i="21"/>
  <c r="Q38" i="21"/>
  <c r="K38" i="21"/>
  <c r="Q37" i="21"/>
  <c r="K37" i="21"/>
  <c r="Q36" i="21"/>
  <c r="K36" i="21"/>
  <c r="Q35" i="21"/>
  <c r="K35" i="21"/>
  <c r="Q34" i="21"/>
  <c r="K34" i="21"/>
  <c r="Q33" i="21"/>
  <c r="K33" i="21"/>
  <c r="Q32" i="21"/>
  <c r="K32" i="21"/>
  <c r="Q31" i="21"/>
  <c r="K31" i="21"/>
  <c r="Q30" i="21"/>
  <c r="K30" i="21"/>
  <c r="Q29" i="21"/>
  <c r="K29" i="21"/>
  <c r="Q28" i="21"/>
  <c r="K28" i="21"/>
  <c r="Q27" i="21"/>
  <c r="K27" i="21"/>
  <c r="Q26" i="21"/>
  <c r="K26" i="21"/>
  <c r="Q25" i="21"/>
  <c r="K25" i="21"/>
  <c r="Q24" i="21"/>
  <c r="K24" i="21"/>
  <c r="Q23" i="21"/>
  <c r="K23" i="21"/>
  <c r="Q22" i="21"/>
  <c r="K22" i="21"/>
  <c r="Q21" i="21"/>
  <c r="K21" i="21"/>
  <c r="Q20" i="21"/>
  <c r="K20" i="21"/>
  <c r="Q19" i="21"/>
  <c r="K19" i="21"/>
  <c r="Q18" i="21"/>
  <c r="K18" i="21"/>
  <c r="Q17" i="21"/>
  <c r="K17" i="21"/>
  <c r="Q16" i="21"/>
  <c r="K16" i="21"/>
  <c r="Q15" i="21"/>
  <c r="K15" i="21"/>
  <c r="Q14" i="21"/>
  <c r="K14" i="21"/>
  <c r="Q13" i="21"/>
  <c r="K13" i="21"/>
  <c r="Q12" i="21"/>
  <c r="K12" i="21"/>
  <c r="Q11" i="21"/>
  <c r="K11" i="21"/>
  <c r="Q10" i="21"/>
  <c r="K10" i="21"/>
  <c r="Q9" i="21"/>
  <c r="K9" i="21"/>
  <c r="Q8" i="21"/>
  <c r="K8" i="21"/>
  <c r="Q7" i="21"/>
  <c r="K7" i="21"/>
  <c r="Q6" i="21"/>
  <c r="K6" i="21"/>
  <c r="Q5" i="21"/>
  <c r="K5" i="21"/>
  <c r="Q4" i="21"/>
  <c r="K4" i="21"/>
  <c r="C4" i="21"/>
  <c r="C5" i="21" s="1"/>
  <c r="T6" i="21" s="1"/>
  <c r="U3" i="21"/>
  <c r="Q3" i="21"/>
  <c r="N3" i="21"/>
  <c r="K3" i="21"/>
  <c r="E3" i="21"/>
  <c r="E4" i="21" s="1"/>
  <c r="E5" i="21" s="1"/>
  <c r="E6" i="21" s="1"/>
  <c r="E7" i="21" s="1"/>
  <c r="E8" i="21" s="1"/>
  <c r="E9" i="21" s="1"/>
  <c r="E10" i="21" s="1"/>
  <c r="E11" i="21" s="1"/>
  <c r="E12" i="21" s="1"/>
  <c r="E13" i="21" s="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C3" i="21"/>
  <c r="N4" i="21" s="1"/>
  <c r="B3" i="21"/>
  <c r="B4" i="21" s="1"/>
  <c r="Q2" i="21"/>
  <c r="M2" i="21"/>
  <c r="F2" i="21"/>
  <c r="E2" i="21"/>
  <c r="C2" i="21"/>
  <c r="N2" i="21" s="1"/>
  <c r="B2" i="21"/>
  <c r="M3" i="21" s="1"/>
  <c r="O3" i="21" s="1"/>
  <c r="P3" i="21" s="1"/>
  <c r="I4" i="20"/>
  <c r="I5" i="20"/>
  <c r="I6" i="20"/>
  <c r="I7" i="20"/>
  <c r="I8" i="20"/>
  <c r="I9" i="20"/>
  <c r="I10" i="20"/>
  <c r="I11" i="20"/>
  <c r="I12" i="20"/>
  <c r="I13" i="20"/>
  <c r="I14" i="20"/>
  <c r="I15" i="20"/>
  <c r="I16" i="20"/>
  <c r="I17" i="20"/>
  <c r="I18" i="20"/>
  <c r="I19" i="20"/>
  <c r="I20" i="20"/>
  <c r="I21" i="20"/>
  <c r="I22" i="20"/>
  <c r="I23" i="20"/>
  <c r="I24" i="20"/>
  <c r="I25" i="20"/>
  <c r="I26" i="20"/>
  <c r="I27" i="20"/>
  <c r="I28" i="20"/>
  <c r="I29" i="20"/>
  <c r="I30" i="20"/>
  <c r="I31" i="20"/>
  <c r="I32" i="20"/>
  <c r="I33" i="20"/>
  <c r="I34" i="20"/>
  <c r="I35" i="20"/>
  <c r="I36" i="20"/>
  <c r="I37" i="20"/>
  <c r="I38" i="20"/>
  <c r="I39" i="20"/>
  <c r="I40" i="20"/>
  <c r="I41" i="20"/>
  <c r="I42" i="20"/>
  <c r="I43" i="20"/>
  <c r="I44" i="20"/>
  <c r="I45" i="20"/>
  <c r="I46" i="20"/>
  <c r="I47" i="20"/>
  <c r="I48" i="20"/>
  <c r="I49" i="20"/>
  <c r="I50" i="20"/>
  <c r="I51" i="20"/>
  <c r="I52" i="20"/>
  <c r="I3" i="20"/>
  <c r="F4" i="20"/>
  <c r="F5" i="20"/>
  <c r="F6" i="20" s="1"/>
  <c r="F7" i="20" s="1"/>
  <c r="F8" i="20" s="1"/>
  <c r="F9" i="20" s="1"/>
  <c r="F10" i="20" s="1"/>
  <c r="F11" i="20" s="1"/>
  <c r="F12" i="20" s="1"/>
  <c r="F13" i="20" s="1"/>
  <c r="F14" i="20" s="1"/>
  <c r="F15" i="20" s="1"/>
  <c r="F16" i="20" s="1"/>
  <c r="F17" i="20" s="1"/>
  <c r="F18" i="20" s="1"/>
  <c r="F19" i="20" s="1"/>
  <c r="F20" i="20" s="1"/>
  <c r="F21" i="20" s="1"/>
  <c r="F22" i="20" s="1"/>
  <c r="F23" i="20" s="1"/>
  <c r="F24" i="20" s="1"/>
  <c r="F25" i="20" s="1"/>
  <c r="F26" i="20" s="1"/>
  <c r="F27" i="20" s="1"/>
  <c r="F28" i="20" s="1"/>
  <c r="F29" i="20" s="1"/>
  <c r="F30" i="20" s="1"/>
  <c r="F31" i="20" s="1"/>
  <c r="F32" i="20" s="1"/>
  <c r="F33" i="20" s="1"/>
  <c r="F34" i="20" s="1"/>
  <c r="F35" i="20" s="1"/>
  <c r="F36" i="20" s="1"/>
  <c r="F37" i="20" s="1"/>
  <c r="F38" i="20" s="1"/>
  <c r="F39" i="20" s="1"/>
  <c r="F40" i="20" s="1"/>
  <c r="F41" i="20" s="1"/>
  <c r="F42" i="20" s="1"/>
  <c r="F43" i="20" s="1"/>
  <c r="F44" i="20" s="1"/>
  <c r="F45" i="20" s="1"/>
  <c r="F46" i="20" s="1"/>
  <c r="F47" i="20" s="1"/>
  <c r="F48" i="20" s="1"/>
  <c r="F49" i="20" s="1"/>
  <c r="F50" i="20" s="1"/>
  <c r="F51" i="20" s="1"/>
  <c r="F52" i="20" s="1"/>
  <c r="F3" i="20"/>
  <c r="Q52" i="20"/>
  <c r="Q51" i="20"/>
  <c r="K51" i="20"/>
  <c r="Q50" i="20"/>
  <c r="K50" i="20"/>
  <c r="Q49" i="20"/>
  <c r="K49" i="20"/>
  <c r="Q48" i="20"/>
  <c r="K48" i="20"/>
  <c r="Q47" i="20"/>
  <c r="K47" i="20"/>
  <c r="Q46" i="20"/>
  <c r="K46" i="20"/>
  <c r="Q45" i="20"/>
  <c r="K45" i="20"/>
  <c r="Q44" i="20"/>
  <c r="K44" i="20"/>
  <c r="Q43" i="20"/>
  <c r="K43" i="20"/>
  <c r="Q42" i="20"/>
  <c r="K42" i="20"/>
  <c r="Q41" i="20"/>
  <c r="K41" i="20"/>
  <c r="Q40" i="20"/>
  <c r="K40" i="20"/>
  <c r="Q39" i="20"/>
  <c r="K39" i="20"/>
  <c r="Q38" i="20"/>
  <c r="K38" i="20"/>
  <c r="Q37" i="20"/>
  <c r="K37" i="20"/>
  <c r="Q36" i="20"/>
  <c r="K36" i="20"/>
  <c r="Q35" i="20"/>
  <c r="K35" i="20"/>
  <c r="Q34" i="20"/>
  <c r="K34" i="20"/>
  <c r="Q33" i="20"/>
  <c r="K33" i="20"/>
  <c r="Q32" i="20"/>
  <c r="K32" i="20"/>
  <c r="Q31" i="20"/>
  <c r="K31" i="20"/>
  <c r="Q30" i="20"/>
  <c r="K30" i="20"/>
  <c r="Q29" i="20"/>
  <c r="K29" i="20"/>
  <c r="Q28" i="20"/>
  <c r="K28" i="20"/>
  <c r="Q27" i="20"/>
  <c r="K27" i="20"/>
  <c r="Q26" i="20"/>
  <c r="K26" i="20"/>
  <c r="Q25" i="20"/>
  <c r="K25" i="20"/>
  <c r="Q24" i="20"/>
  <c r="K24" i="20"/>
  <c r="Q23" i="20"/>
  <c r="K23" i="20"/>
  <c r="Q22" i="20"/>
  <c r="K22" i="20"/>
  <c r="Q21" i="20"/>
  <c r="K21" i="20"/>
  <c r="Q20" i="20"/>
  <c r="K20" i="20"/>
  <c r="Q19" i="20"/>
  <c r="K19" i="20"/>
  <c r="Q18" i="20"/>
  <c r="K18" i="20"/>
  <c r="Q17" i="20"/>
  <c r="K17" i="20"/>
  <c r="Q16" i="20"/>
  <c r="K16" i="20"/>
  <c r="Q15" i="20"/>
  <c r="K15" i="20"/>
  <c r="Q14" i="20"/>
  <c r="K14" i="20"/>
  <c r="Q13" i="20"/>
  <c r="K13" i="20"/>
  <c r="Q12" i="20"/>
  <c r="K12" i="20"/>
  <c r="Q11" i="20"/>
  <c r="K11" i="20"/>
  <c r="Q10" i="20"/>
  <c r="K10" i="20"/>
  <c r="Q9" i="20"/>
  <c r="K9" i="20"/>
  <c r="Q8" i="20"/>
  <c r="K8" i="20"/>
  <c r="Q7" i="20"/>
  <c r="K7" i="20"/>
  <c r="Q6" i="20"/>
  <c r="K6" i="20"/>
  <c r="Q5" i="20"/>
  <c r="K5" i="20"/>
  <c r="C5" i="20"/>
  <c r="T6" i="20" s="1"/>
  <c r="V6" i="20" s="1"/>
  <c r="B5" i="20"/>
  <c r="U6" i="20" s="1"/>
  <c r="T4" i="20"/>
  <c r="Q4" i="20"/>
  <c r="N4" i="20"/>
  <c r="M4" i="20"/>
  <c r="O4" i="20" s="1"/>
  <c r="K4" i="20"/>
  <c r="C4" i="20"/>
  <c r="T5" i="20" s="1"/>
  <c r="B4" i="20"/>
  <c r="M5" i="20" s="1"/>
  <c r="Q3" i="20"/>
  <c r="N3" i="20"/>
  <c r="M3" i="20"/>
  <c r="O3" i="20" s="1"/>
  <c r="P3" i="20" s="1"/>
  <c r="K3" i="20"/>
  <c r="C3" i="20"/>
  <c r="B3" i="20"/>
  <c r="U4" i="20" s="1"/>
  <c r="Q2" i="20"/>
  <c r="N2" i="20"/>
  <c r="F2" i="20"/>
  <c r="E2" i="20"/>
  <c r="E3" i="20" s="1"/>
  <c r="C2" i="20"/>
  <c r="T3" i="20" s="1"/>
  <c r="B2" i="20"/>
  <c r="M2" i="20" s="1"/>
  <c r="E5" i="19"/>
  <c r="E6" i="19" s="1"/>
  <c r="E7" i="19" s="1"/>
  <c r="E8" i="19" s="1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4" i="19"/>
  <c r="J3" i="19"/>
  <c r="E3" i="19"/>
  <c r="Q52" i="19"/>
  <c r="Q51" i="19"/>
  <c r="K51" i="19"/>
  <c r="Q50" i="19"/>
  <c r="K50" i="19"/>
  <c r="Q49" i="19"/>
  <c r="K49" i="19"/>
  <c r="Q48" i="19"/>
  <c r="K48" i="19"/>
  <c r="Q47" i="19"/>
  <c r="K47" i="19"/>
  <c r="Q46" i="19"/>
  <c r="K46" i="19"/>
  <c r="Q45" i="19"/>
  <c r="K45" i="19"/>
  <c r="Q44" i="19"/>
  <c r="K44" i="19"/>
  <c r="Q43" i="19"/>
  <c r="K43" i="19"/>
  <c r="Q42" i="19"/>
  <c r="K42" i="19"/>
  <c r="Q41" i="19"/>
  <c r="K41" i="19"/>
  <c r="Q40" i="19"/>
  <c r="K40" i="19"/>
  <c r="Q39" i="19"/>
  <c r="K39" i="19"/>
  <c r="Q38" i="19"/>
  <c r="K38" i="19"/>
  <c r="Q37" i="19"/>
  <c r="K37" i="19"/>
  <c r="Q36" i="19"/>
  <c r="K36" i="19"/>
  <c r="Q35" i="19"/>
  <c r="K35" i="19"/>
  <c r="Q34" i="19"/>
  <c r="K34" i="19"/>
  <c r="Q33" i="19"/>
  <c r="K33" i="19"/>
  <c r="Q32" i="19"/>
  <c r="K32" i="19"/>
  <c r="Q31" i="19"/>
  <c r="K31" i="19"/>
  <c r="Q30" i="19"/>
  <c r="K30" i="19"/>
  <c r="Q29" i="19"/>
  <c r="K29" i="19"/>
  <c r="Q28" i="19"/>
  <c r="K28" i="19"/>
  <c r="Q27" i="19"/>
  <c r="K27" i="19"/>
  <c r="Q26" i="19"/>
  <c r="K26" i="19"/>
  <c r="Q25" i="19"/>
  <c r="K25" i="19"/>
  <c r="Q24" i="19"/>
  <c r="K24" i="19"/>
  <c r="Q23" i="19"/>
  <c r="K23" i="19"/>
  <c r="Q22" i="19"/>
  <c r="K22" i="19"/>
  <c r="Q21" i="19"/>
  <c r="K21" i="19"/>
  <c r="Q20" i="19"/>
  <c r="K20" i="19"/>
  <c r="Q19" i="19"/>
  <c r="K19" i="19"/>
  <c r="Q18" i="19"/>
  <c r="K18" i="19"/>
  <c r="Q17" i="19"/>
  <c r="K17" i="19"/>
  <c r="Q16" i="19"/>
  <c r="K16" i="19"/>
  <c r="Q15" i="19"/>
  <c r="K15" i="19"/>
  <c r="Q14" i="19"/>
  <c r="K14" i="19"/>
  <c r="Q13" i="19"/>
  <c r="K13" i="19"/>
  <c r="Q12" i="19"/>
  <c r="K12" i="19"/>
  <c r="Q11" i="19"/>
  <c r="K11" i="19"/>
  <c r="Q10" i="19"/>
  <c r="K10" i="19"/>
  <c r="Q9" i="19"/>
  <c r="K9" i="19"/>
  <c r="Q8" i="19"/>
  <c r="K8" i="19"/>
  <c r="Q7" i="19"/>
  <c r="K7" i="19"/>
  <c r="Q6" i="19"/>
  <c r="K6" i="19"/>
  <c r="Q5" i="19"/>
  <c r="K5" i="19"/>
  <c r="Q4" i="19"/>
  <c r="K4" i="19"/>
  <c r="Q3" i="19"/>
  <c r="K3" i="19"/>
  <c r="C3" i="19"/>
  <c r="N4" i="19" s="1"/>
  <c r="Q2" i="19"/>
  <c r="F2" i="19"/>
  <c r="F3" i="19" s="1"/>
  <c r="E2" i="19"/>
  <c r="C2" i="19"/>
  <c r="N2" i="19" s="1"/>
  <c r="B2" i="19"/>
  <c r="M3" i="19" s="1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3" i="18"/>
  <c r="E4" i="18"/>
  <c r="E5" i="18" s="1"/>
  <c r="E6" i="18" s="1"/>
  <c r="E7" i="18" s="1"/>
  <c r="E8" i="18" s="1"/>
  <c r="E9" i="18" s="1"/>
  <c r="E10" i="18" s="1"/>
  <c r="E11" i="18" s="1"/>
  <c r="E12" i="18" s="1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3" i="18"/>
  <c r="Q52" i="18"/>
  <c r="Q51" i="18"/>
  <c r="K51" i="18"/>
  <c r="Q50" i="18"/>
  <c r="K50" i="18"/>
  <c r="Q49" i="18"/>
  <c r="K49" i="18"/>
  <c r="Q48" i="18"/>
  <c r="K48" i="18"/>
  <c r="Q47" i="18"/>
  <c r="K47" i="18"/>
  <c r="Q46" i="18"/>
  <c r="K46" i="18"/>
  <c r="Q45" i="18"/>
  <c r="K45" i="18"/>
  <c r="Q44" i="18"/>
  <c r="K44" i="18"/>
  <c r="Q43" i="18"/>
  <c r="K43" i="18"/>
  <c r="Q42" i="18"/>
  <c r="K42" i="18"/>
  <c r="Q41" i="18"/>
  <c r="K41" i="18"/>
  <c r="Q40" i="18"/>
  <c r="K40" i="18"/>
  <c r="Q39" i="18"/>
  <c r="K39" i="18"/>
  <c r="Q38" i="18"/>
  <c r="K38" i="18"/>
  <c r="Q37" i="18"/>
  <c r="K37" i="18"/>
  <c r="Q36" i="18"/>
  <c r="K36" i="18"/>
  <c r="Q35" i="18"/>
  <c r="K35" i="18"/>
  <c r="Q34" i="18"/>
  <c r="K34" i="18"/>
  <c r="Q33" i="18"/>
  <c r="K33" i="18"/>
  <c r="Q32" i="18"/>
  <c r="K32" i="18"/>
  <c r="Q31" i="18"/>
  <c r="K31" i="18"/>
  <c r="Q30" i="18"/>
  <c r="K30" i="18"/>
  <c r="Q29" i="18"/>
  <c r="K29" i="18"/>
  <c r="Q28" i="18"/>
  <c r="K28" i="18"/>
  <c r="Q27" i="18"/>
  <c r="K27" i="18"/>
  <c r="Q26" i="18"/>
  <c r="K26" i="18"/>
  <c r="Q25" i="18"/>
  <c r="K25" i="18"/>
  <c r="Q24" i="18"/>
  <c r="K24" i="18"/>
  <c r="Q23" i="18"/>
  <c r="K23" i="18"/>
  <c r="Q22" i="18"/>
  <c r="K22" i="18"/>
  <c r="Q21" i="18"/>
  <c r="K21" i="18"/>
  <c r="Q20" i="18"/>
  <c r="K20" i="18"/>
  <c r="Q19" i="18"/>
  <c r="K19" i="18"/>
  <c r="Q18" i="18"/>
  <c r="K18" i="18"/>
  <c r="Q17" i="18"/>
  <c r="K17" i="18"/>
  <c r="Q16" i="18"/>
  <c r="K16" i="18"/>
  <c r="Q15" i="18"/>
  <c r="K15" i="18"/>
  <c r="Q14" i="18"/>
  <c r="K14" i="18"/>
  <c r="Q13" i="18"/>
  <c r="K13" i="18"/>
  <c r="Q12" i="18"/>
  <c r="K12" i="18"/>
  <c r="Q11" i="18"/>
  <c r="K11" i="18"/>
  <c r="Q10" i="18"/>
  <c r="K10" i="18"/>
  <c r="Q9" i="18"/>
  <c r="K9" i="18"/>
  <c r="Q8" i="18"/>
  <c r="K8" i="18"/>
  <c r="Q7" i="18"/>
  <c r="K7" i="18"/>
  <c r="Q6" i="18"/>
  <c r="K6" i="18"/>
  <c r="Q5" i="18"/>
  <c r="K5" i="18"/>
  <c r="U4" i="18"/>
  <c r="Q4" i="18"/>
  <c r="M4" i="18"/>
  <c r="K4" i="18"/>
  <c r="V3" i="18"/>
  <c r="W3" i="18" s="1"/>
  <c r="X3" i="18" s="1"/>
  <c r="U3" i="18"/>
  <c r="T3" i="18"/>
  <c r="Q3" i="18"/>
  <c r="M3" i="18"/>
  <c r="K3" i="18"/>
  <c r="C3" i="18"/>
  <c r="T4" i="18" s="1"/>
  <c r="V4" i="18" s="1"/>
  <c r="B3" i="18"/>
  <c r="D3" i="18" s="1"/>
  <c r="Q2" i="18"/>
  <c r="N2" i="18"/>
  <c r="M2" i="18"/>
  <c r="H2" i="18"/>
  <c r="G2" i="18"/>
  <c r="F2" i="18"/>
  <c r="F3" i="18" s="1"/>
  <c r="E2" i="18"/>
  <c r="D2" i="18"/>
  <c r="C2" i="18"/>
  <c r="N3" i="18" s="1"/>
  <c r="O3" i="18" s="1"/>
  <c r="P3" i="18" s="1"/>
  <c r="B2" i="18"/>
  <c r="L52" i="17"/>
  <c r="L4" i="17"/>
  <c r="L5" i="17"/>
  <c r="L6" i="17"/>
  <c r="L7" i="17"/>
  <c r="L8" i="17"/>
  <c r="L9" i="17"/>
  <c r="U59" i="17" s="1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3" i="17"/>
  <c r="J3" i="17"/>
  <c r="Q52" i="17"/>
  <c r="Q51" i="17"/>
  <c r="K51" i="17"/>
  <c r="Q50" i="17"/>
  <c r="K50" i="17"/>
  <c r="Q49" i="17"/>
  <c r="K49" i="17"/>
  <c r="Q48" i="17"/>
  <c r="K48" i="17"/>
  <c r="Q47" i="17"/>
  <c r="K47" i="17"/>
  <c r="Q46" i="17"/>
  <c r="K46" i="17"/>
  <c r="Q45" i="17"/>
  <c r="K45" i="17"/>
  <c r="Q44" i="17"/>
  <c r="K44" i="17"/>
  <c r="Q43" i="17"/>
  <c r="K43" i="17"/>
  <c r="Q42" i="17"/>
  <c r="K42" i="17"/>
  <c r="Q41" i="17"/>
  <c r="K41" i="17"/>
  <c r="Q40" i="17"/>
  <c r="K40" i="17"/>
  <c r="Q39" i="17"/>
  <c r="K39" i="17"/>
  <c r="Q38" i="17"/>
  <c r="K38" i="17"/>
  <c r="Q37" i="17"/>
  <c r="K37" i="17"/>
  <c r="Q36" i="17"/>
  <c r="K36" i="17"/>
  <c r="Q35" i="17"/>
  <c r="K35" i="17"/>
  <c r="Q34" i="17"/>
  <c r="K34" i="17"/>
  <c r="Q33" i="17"/>
  <c r="K33" i="17"/>
  <c r="Q32" i="17"/>
  <c r="K32" i="17"/>
  <c r="Q31" i="17"/>
  <c r="K31" i="17"/>
  <c r="Q30" i="17"/>
  <c r="K30" i="17"/>
  <c r="Q29" i="17"/>
  <c r="K29" i="17"/>
  <c r="Q28" i="17"/>
  <c r="K28" i="17"/>
  <c r="Q27" i="17"/>
  <c r="K27" i="17"/>
  <c r="Q26" i="17"/>
  <c r="K26" i="17"/>
  <c r="Q25" i="17"/>
  <c r="K25" i="17"/>
  <c r="Q24" i="17"/>
  <c r="K24" i="17"/>
  <c r="Q23" i="17"/>
  <c r="K23" i="17"/>
  <c r="Q22" i="17"/>
  <c r="K22" i="17"/>
  <c r="Q21" i="17"/>
  <c r="K21" i="17"/>
  <c r="Q20" i="17"/>
  <c r="K20" i="17"/>
  <c r="Q19" i="17"/>
  <c r="K19" i="17"/>
  <c r="Q18" i="17"/>
  <c r="K18" i="17"/>
  <c r="Q17" i="17"/>
  <c r="K17" i="17"/>
  <c r="Q16" i="17"/>
  <c r="K16" i="17"/>
  <c r="Q15" i="17"/>
  <c r="K15" i="17"/>
  <c r="Q14" i="17"/>
  <c r="K14" i="17"/>
  <c r="Q13" i="17"/>
  <c r="K13" i="17"/>
  <c r="Q12" i="17"/>
  <c r="K12" i="17"/>
  <c r="Q11" i="17"/>
  <c r="K11" i="17"/>
  <c r="Q10" i="17"/>
  <c r="K10" i="17"/>
  <c r="Q9" i="17"/>
  <c r="K9" i="17"/>
  <c r="Q8" i="17"/>
  <c r="K8" i="17"/>
  <c r="Q7" i="17"/>
  <c r="K7" i="17"/>
  <c r="Q6" i="17"/>
  <c r="K6" i="17"/>
  <c r="Q5" i="17"/>
  <c r="K5" i="17"/>
  <c r="Q4" i="17"/>
  <c r="K4" i="17"/>
  <c r="U3" i="17"/>
  <c r="T3" i="17"/>
  <c r="V3" i="17" s="1"/>
  <c r="Q3" i="17"/>
  <c r="N3" i="17"/>
  <c r="K3" i="17"/>
  <c r="F3" i="17"/>
  <c r="F4" i="17" s="1"/>
  <c r="Q2" i="17"/>
  <c r="N2" i="17"/>
  <c r="F2" i="17"/>
  <c r="E2" i="17"/>
  <c r="E3" i="17" s="1"/>
  <c r="E4" i="17" s="1"/>
  <c r="E5" i="17" s="1"/>
  <c r="E6" i="17" s="1"/>
  <c r="E7" i="17" s="1"/>
  <c r="E8" i="17" s="1"/>
  <c r="E9" i="17" s="1"/>
  <c r="E10" i="17" s="1"/>
  <c r="E11" i="17" s="1"/>
  <c r="E12" i="17" s="1"/>
  <c r="E13" i="17" s="1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E25" i="17" s="1"/>
  <c r="E26" i="17" s="1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D2" i="17"/>
  <c r="H2" i="17" s="1"/>
  <c r="C2" i="17"/>
  <c r="C3" i="17" s="1"/>
  <c r="B2" i="17"/>
  <c r="B3" i="17" s="1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3" i="10"/>
  <c r="Q59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3" i="9"/>
  <c r="Q59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3" i="8"/>
  <c r="L52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3" i="6"/>
  <c r="L3" i="4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3" i="6"/>
  <c r="J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I3" i="4"/>
  <c r="G12" i="24" l="1"/>
  <c r="G9" i="24"/>
  <c r="G14" i="24"/>
  <c r="G11" i="24"/>
  <c r="G8" i="24"/>
  <c r="G13" i="24"/>
  <c r="G15" i="24"/>
  <c r="G10" i="24"/>
  <c r="G6" i="24"/>
  <c r="G5" i="24"/>
  <c r="D3" i="22"/>
  <c r="B4" i="22"/>
  <c r="M4" i="22"/>
  <c r="O4" i="22" s="1"/>
  <c r="U4" i="22"/>
  <c r="C4" i="22"/>
  <c r="N4" i="22"/>
  <c r="T4" i="22"/>
  <c r="L3" i="22"/>
  <c r="F4" i="22"/>
  <c r="D2" i="22"/>
  <c r="T3" i="22"/>
  <c r="V3" i="22" s="1"/>
  <c r="W3" i="22" s="1"/>
  <c r="X3" i="22" s="1"/>
  <c r="U3" i="22"/>
  <c r="M2" i="22"/>
  <c r="N2" i="22"/>
  <c r="M3" i="22"/>
  <c r="O3" i="22" s="1"/>
  <c r="P3" i="22" s="1"/>
  <c r="N3" i="22"/>
  <c r="L3" i="21"/>
  <c r="B5" i="21"/>
  <c r="M5" i="21"/>
  <c r="U5" i="21"/>
  <c r="D4" i="21"/>
  <c r="T5" i="21"/>
  <c r="V5" i="21" s="1"/>
  <c r="D3" i="21"/>
  <c r="D2" i="21"/>
  <c r="N6" i="21"/>
  <c r="T4" i="21"/>
  <c r="V4" i="21" s="1"/>
  <c r="T3" i="21"/>
  <c r="V3" i="21" s="1"/>
  <c r="W3" i="21" s="1"/>
  <c r="X3" i="21" s="1"/>
  <c r="U4" i="21"/>
  <c r="C6" i="21"/>
  <c r="N5" i="21"/>
  <c r="M4" i="21"/>
  <c r="O4" i="21" s="1"/>
  <c r="E4" i="20"/>
  <c r="E5" i="20" s="1"/>
  <c r="E6" i="20" s="1"/>
  <c r="E7" i="20" s="1"/>
  <c r="E8" i="20" s="1"/>
  <c r="E9" i="20" s="1"/>
  <c r="E10" i="20" s="1"/>
  <c r="E11" i="20" s="1"/>
  <c r="E12" i="20" s="1"/>
  <c r="E13" i="20" s="1"/>
  <c r="E14" i="20" s="1"/>
  <c r="E15" i="20" s="1"/>
  <c r="E16" i="20" s="1"/>
  <c r="E17" i="20" s="1"/>
  <c r="E18" i="20" s="1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L3" i="20"/>
  <c r="P4" i="20"/>
  <c r="V4" i="20"/>
  <c r="W4" i="20" s="1"/>
  <c r="X4" i="20" s="1"/>
  <c r="L4" i="20"/>
  <c r="D4" i="20"/>
  <c r="M6" i="20"/>
  <c r="D5" i="20"/>
  <c r="D3" i="20"/>
  <c r="U5" i="20"/>
  <c r="V5" i="20" s="1"/>
  <c r="D2" i="20"/>
  <c r="B6" i="20"/>
  <c r="C6" i="20"/>
  <c r="N6" i="20"/>
  <c r="U3" i="20"/>
  <c r="V3" i="20" s="1"/>
  <c r="W3" i="20" s="1"/>
  <c r="X3" i="20" s="1"/>
  <c r="N5" i="20"/>
  <c r="O5" i="20" s="1"/>
  <c r="L3" i="19"/>
  <c r="F4" i="19"/>
  <c r="B3" i="19"/>
  <c r="N3" i="19"/>
  <c r="O3" i="19" s="1"/>
  <c r="P3" i="19" s="1"/>
  <c r="C4" i="19"/>
  <c r="D2" i="19"/>
  <c r="T4" i="19"/>
  <c r="T3" i="19"/>
  <c r="V3" i="19" s="1"/>
  <c r="W3" i="19" s="1"/>
  <c r="X3" i="19" s="1"/>
  <c r="U3" i="19"/>
  <c r="M2" i="19"/>
  <c r="F4" i="18"/>
  <c r="L3" i="18"/>
  <c r="H3" i="18"/>
  <c r="G3" i="18"/>
  <c r="I3" i="18" s="1"/>
  <c r="B4" i="18"/>
  <c r="N4" i="18"/>
  <c r="O4" i="18" s="1"/>
  <c r="P4" i="18" s="1"/>
  <c r="C4" i="18"/>
  <c r="F5" i="17"/>
  <c r="W3" i="17"/>
  <c r="X3" i="17" s="1"/>
  <c r="D3" i="17"/>
  <c r="B4" i="17"/>
  <c r="M4" i="17"/>
  <c r="U4" i="17"/>
  <c r="C4" i="17"/>
  <c r="N4" i="17"/>
  <c r="T4" i="17"/>
  <c r="V4" i="17" s="1"/>
  <c r="W4" i="17" s="1"/>
  <c r="X4" i="17" s="1"/>
  <c r="M2" i="17"/>
  <c r="M3" i="17"/>
  <c r="O3" i="17" s="1"/>
  <c r="P3" i="17" s="1"/>
  <c r="G2" i="17"/>
  <c r="Q61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3" i="4"/>
  <c r="P4" i="22" l="1"/>
  <c r="H2" i="22"/>
  <c r="G2" i="22"/>
  <c r="F5" i="22"/>
  <c r="L4" i="22"/>
  <c r="V4" i="22"/>
  <c r="W4" i="22" s="1"/>
  <c r="X4" i="22" s="1"/>
  <c r="T5" i="22"/>
  <c r="V5" i="22" s="1"/>
  <c r="W5" i="22" s="1"/>
  <c r="X5" i="22" s="1"/>
  <c r="C5" i="22"/>
  <c r="N5" i="22"/>
  <c r="M5" i="22"/>
  <c r="D4" i="22"/>
  <c r="U5" i="22"/>
  <c r="B5" i="22"/>
  <c r="H3" i="22"/>
  <c r="J3" i="22" s="1"/>
  <c r="G3" i="22"/>
  <c r="P4" i="21"/>
  <c r="W4" i="21"/>
  <c r="X4" i="21" s="1"/>
  <c r="H3" i="21"/>
  <c r="J3" i="21" s="1"/>
  <c r="G3" i="21"/>
  <c r="H2" i="21"/>
  <c r="G2" i="21"/>
  <c r="N7" i="21"/>
  <c r="T7" i="21"/>
  <c r="C7" i="21"/>
  <c r="H4" i="21"/>
  <c r="J4" i="21" s="1"/>
  <c r="G4" i="21"/>
  <c r="O5" i="21"/>
  <c r="D5" i="21"/>
  <c r="U6" i="21"/>
  <c r="V6" i="21" s="1"/>
  <c r="B6" i="21"/>
  <c r="M6" i="21"/>
  <c r="O6" i="21" s="1"/>
  <c r="L4" i="21"/>
  <c r="W5" i="20"/>
  <c r="X5" i="20" s="1"/>
  <c r="P5" i="20"/>
  <c r="H4" i="20"/>
  <c r="J4" i="20" s="1"/>
  <c r="G4" i="20"/>
  <c r="C7" i="20"/>
  <c r="N7" i="20"/>
  <c r="T7" i="20"/>
  <c r="V7" i="20" s="1"/>
  <c r="H3" i="20"/>
  <c r="J3" i="20" s="1"/>
  <c r="R3" i="20" s="1"/>
  <c r="S3" i="20" s="1"/>
  <c r="G3" i="20"/>
  <c r="W6" i="20"/>
  <c r="X6" i="20" s="1"/>
  <c r="L5" i="20"/>
  <c r="H5" i="20"/>
  <c r="J5" i="20" s="1"/>
  <c r="G5" i="20"/>
  <c r="U7" i="20"/>
  <c r="B7" i="20"/>
  <c r="D6" i="20"/>
  <c r="M7" i="20"/>
  <c r="O7" i="20" s="1"/>
  <c r="H2" i="20"/>
  <c r="G2" i="20"/>
  <c r="O6" i="20"/>
  <c r="H2" i="19"/>
  <c r="G2" i="19"/>
  <c r="T5" i="19"/>
  <c r="C5" i="19"/>
  <c r="N5" i="19"/>
  <c r="B4" i="19"/>
  <c r="M4" i="19"/>
  <c r="O4" i="19" s="1"/>
  <c r="P4" i="19" s="1"/>
  <c r="U4" i="19"/>
  <c r="V4" i="19" s="1"/>
  <c r="W4" i="19" s="1"/>
  <c r="X4" i="19" s="1"/>
  <c r="D3" i="19"/>
  <c r="F5" i="19"/>
  <c r="L4" i="19"/>
  <c r="U5" i="18"/>
  <c r="D4" i="18"/>
  <c r="B5" i="18"/>
  <c r="M5" i="18"/>
  <c r="F5" i="18"/>
  <c r="L4" i="18"/>
  <c r="R3" i="18"/>
  <c r="S3" i="18" s="1"/>
  <c r="T5" i="18"/>
  <c r="C5" i="18"/>
  <c r="N5" i="18"/>
  <c r="W4" i="18"/>
  <c r="X4" i="18" s="1"/>
  <c r="U5" i="17"/>
  <c r="D4" i="17"/>
  <c r="B5" i="17"/>
  <c r="M5" i="17"/>
  <c r="O4" i="17"/>
  <c r="P4" i="17" s="1"/>
  <c r="G3" i="17"/>
  <c r="I3" i="17" s="1"/>
  <c r="H3" i="17"/>
  <c r="T5" i="17"/>
  <c r="V5" i="17" s="1"/>
  <c r="W5" i="17" s="1"/>
  <c r="X5" i="17" s="1"/>
  <c r="C5" i="17"/>
  <c r="N5" i="17"/>
  <c r="F6" i="17"/>
  <c r="N6" i="22" l="1"/>
  <c r="C6" i="22"/>
  <c r="T6" i="22"/>
  <c r="U6" i="22"/>
  <c r="D5" i="22"/>
  <c r="B6" i="22"/>
  <c r="M6" i="22"/>
  <c r="O6" i="22" s="1"/>
  <c r="L5" i="22"/>
  <c r="F6" i="22"/>
  <c r="H4" i="22"/>
  <c r="J4" i="22" s="1"/>
  <c r="R4" i="22" s="1"/>
  <c r="S4" i="22" s="1"/>
  <c r="G4" i="22"/>
  <c r="I4" i="22" s="1"/>
  <c r="O5" i="22"/>
  <c r="P5" i="22" s="1"/>
  <c r="R3" i="22"/>
  <c r="S3" i="22" s="1"/>
  <c r="P5" i="21"/>
  <c r="R4" i="21"/>
  <c r="S4" i="21" s="1"/>
  <c r="P6" i="21"/>
  <c r="L5" i="21"/>
  <c r="D6" i="21"/>
  <c r="M7" i="21"/>
  <c r="O7" i="21" s="1"/>
  <c r="U7" i="21"/>
  <c r="V7" i="21" s="1"/>
  <c r="B7" i="21"/>
  <c r="C8" i="21"/>
  <c r="T8" i="21"/>
  <c r="N8" i="21"/>
  <c r="W6" i="21"/>
  <c r="X6" i="21" s="1"/>
  <c r="H5" i="21"/>
  <c r="J5" i="21" s="1"/>
  <c r="G5" i="21"/>
  <c r="W5" i="21"/>
  <c r="X5" i="21" s="1"/>
  <c r="R3" i="21"/>
  <c r="S3" i="21" s="1"/>
  <c r="P6" i="20"/>
  <c r="R4" i="20"/>
  <c r="S4" i="20" s="1"/>
  <c r="R5" i="20"/>
  <c r="S5" i="20" s="1"/>
  <c r="H6" i="20"/>
  <c r="J6" i="20" s="1"/>
  <c r="G6" i="20"/>
  <c r="M8" i="20"/>
  <c r="U8" i="20"/>
  <c r="B8" i="20"/>
  <c r="D7" i="20"/>
  <c r="T8" i="20"/>
  <c r="V8" i="20" s="1"/>
  <c r="N8" i="20"/>
  <c r="C8" i="20"/>
  <c r="P7" i="20"/>
  <c r="L6" i="20"/>
  <c r="M5" i="19"/>
  <c r="O5" i="19" s="1"/>
  <c r="P5" i="19" s="1"/>
  <c r="U5" i="19"/>
  <c r="B5" i="19"/>
  <c r="D4" i="19"/>
  <c r="N6" i="19"/>
  <c r="C6" i="19"/>
  <c r="T6" i="19"/>
  <c r="V5" i="19"/>
  <c r="W5" i="19" s="1"/>
  <c r="X5" i="19" s="1"/>
  <c r="F6" i="19"/>
  <c r="L5" i="19"/>
  <c r="H3" i="19"/>
  <c r="G3" i="19"/>
  <c r="I3" i="19" s="1"/>
  <c r="L5" i="18"/>
  <c r="F6" i="18"/>
  <c r="O5" i="18"/>
  <c r="P5" i="18" s="1"/>
  <c r="B6" i="18"/>
  <c r="M6" i="18"/>
  <c r="U6" i="18"/>
  <c r="D5" i="18"/>
  <c r="H4" i="18"/>
  <c r="G4" i="18"/>
  <c r="I4" i="18" s="1"/>
  <c r="N6" i="18"/>
  <c r="T6" i="18"/>
  <c r="C6" i="18"/>
  <c r="V5" i="18"/>
  <c r="W5" i="18" s="1"/>
  <c r="X5" i="18" s="1"/>
  <c r="N6" i="17"/>
  <c r="T6" i="17"/>
  <c r="C6" i="17"/>
  <c r="R4" i="17"/>
  <c r="S4" i="17" s="1"/>
  <c r="O5" i="17"/>
  <c r="P5" i="17" s="1"/>
  <c r="M6" i="17"/>
  <c r="O6" i="17" s="1"/>
  <c r="P6" i="17" s="1"/>
  <c r="D5" i="17"/>
  <c r="U6" i="17"/>
  <c r="B6" i="17"/>
  <c r="F7" i="17"/>
  <c r="H4" i="17"/>
  <c r="J4" i="17" s="1"/>
  <c r="G4" i="17"/>
  <c r="I4" i="17" s="1"/>
  <c r="R3" i="17"/>
  <c r="S3" i="17" s="1"/>
  <c r="P6" i="22" l="1"/>
  <c r="D6" i="22"/>
  <c r="M7" i="22"/>
  <c r="O7" i="22" s="1"/>
  <c r="P7" i="22" s="1"/>
  <c r="U7" i="22"/>
  <c r="B7" i="22"/>
  <c r="H5" i="22"/>
  <c r="J5" i="22" s="1"/>
  <c r="G5" i="22"/>
  <c r="I5" i="22" s="1"/>
  <c r="R5" i="22" s="1"/>
  <c r="S5" i="22" s="1"/>
  <c r="V6" i="22"/>
  <c r="W6" i="22" s="1"/>
  <c r="X6" i="22" s="1"/>
  <c r="C7" i="22"/>
  <c r="N7" i="22"/>
  <c r="T7" i="22"/>
  <c r="V7" i="22" s="1"/>
  <c r="F7" i="22"/>
  <c r="L6" i="22"/>
  <c r="R5" i="21"/>
  <c r="S5" i="21" s="1"/>
  <c r="N9" i="21"/>
  <c r="T9" i="21"/>
  <c r="C9" i="21"/>
  <c r="M8" i="21"/>
  <c r="O8" i="21" s="1"/>
  <c r="B8" i="21"/>
  <c r="D7" i="21"/>
  <c r="U8" i="21"/>
  <c r="V8" i="21" s="1"/>
  <c r="H6" i="21"/>
  <c r="J6" i="21" s="1"/>
  <c r="G6" i="21"/>
  <c r="L6" i="21"/>
  <c r="R6" i="21" s="1"/>
  <c r="S6" i="21" s="1"/>
  <c r="R6" i="20"/>
  <c r="S6" i="20" s="1"/>
  <c r="O8" i="20"/>
  <c r="W7" i="20"/>
  <c r="X7" i="20" s="1"/>
  <c r="B9" i="20"/>
  <c r="U9" i="20"/>
  <c r="D8" i="20"/>
  <c r="M9" i="20"/>
  <c r="O9" i="20" s="1"/>
  <c r="G7" i="20"/>
  <c r="H7" i="20"/>
  <c r="J7" i="20" s="1"/>
  <c r="L7" i="20"/>
  <c r="R7" i="20" s="1"/>
  <c r="S7" i="20" s="1"/>
  <c r="W8" i="20"/>
  <c r="X8" i="20" s="1"/>
  <c r="N9" i="20"/>
  <c r="T9" i="20"/>
  <c r="C9" i="20"/>
  <c r="T7" i="19"/>
  <c r="C7" i="19"/>
  <c r="N7" i="19"/>
  <c r="H4" i="19"/>
  <c r="J4" i="19" s="1"/>
  <c r="G4" i="19"/>
  <c r="I4" i="19" s="1"/>
  <c r="B6" i="19"/>
  <c r="M6" i="19"/>
  <c r="O6" i="19" s="1"/>
  <c r="P6" i="19" s="1"/>
  <c r="D5" i="19"/>
  <c r="U6" i="19"/>
  <c r="V6" i="19" s="1"/>
  <c r="W6" i="19" s="1"/>
  <c r="X6" i="19" s="1"/>
  <c r="L6" i="19"/>
  <c r="F7" i="19"/>
  <c r="R3" i="19"/>
  <c r="S3" i="19" s="1"/>
  <c r="H5" i="18"/>
  <c r="G5" i="18"/>
  <c r="I5" i="18" s="1"/>
  <c r="O6" i="18"/>
  <c r="P6" i="18" s="1"/>
  <c r="M7" i="18"/>
  <c r="B7" i="18"/>
  <c r="U7" i="18"/>
  <c r="D6" i="18"/>
  <c r="L6" i="18"/>
  <c r="F7" i="18"/>
  <c r="V6" i="18"/>
  <c r="W6" i="18" s="1"/>
  <c r="X6" i="18" s="1"/>
  <c r="C7" i="18"/>
  <c r="N7" i="18"/>
  <c r="T7" i="18"/>
  <c r="V7" i="18" s="1"/>
  <c r="W7" i="18" s="1"/>
  <c r="X7" i="18" s="1"/>
  <c r="R4" i="18"/>
  <c r="S4" i="18" s="1"/>
  <c r="U7" i="17"/>
  <c r="B7" i="17"/>
  <c r="M7" i="17"/>
  <c r="D6" i="17"/>
  <c r="H5" i="17"/>
  <c r="J5" i="17" s="1"/>
  <c r="G5" i="17"/>
  <c r="I5" i="17" s="1"/>
  <c r="T7" i="17"/>
  <c r="V7" i="17" s="1"/>
  <c r="W7" i="17" s="1"/>
  <c r="X7" i="17" s="1"/>
  <c r="C7" i="17"/>
  <c r="N7" i="17"/>
  <c r="V6" i="17"/>
  <c r="W6" i="17" s="1"/>
  <c r="X6" i="17" s="1"/>
  <c r="F8" i="17"/>
  <c r="M8" i="22" l="1"/>
  <c r="O8" i="22" s="1"/>
  <c r="U8" i="22"/>
  <c r="B8" i="22"/>
  <c r="D7" i="22"/>
  <c r="L7" i="22"/>
  <c r="F8" i="22"/>
  <c r="W7" i="22"/>
  <c r="X7" i="22" s="1"/>
  <c r="T8" i="22"/>
  <c r="C8" i="22"/>
  <c r="N8" i="22"/>
  <c r="H6" i="22"/>
  <c r="J6" i="22" s="1"/>
  <c r="G6" i="22"/>
  <c r="I6" i="22" s="1"/>
  <c r="R6" i="22" s="1"/>
  <c r="S6" i="22" s="1"/>
  <c r="B9" i="21"/>
  <c r="D8" i="21"/>
  <c r="U9" i="21"/>
  <c r="V9" i="21" s="1"/>
  <c r="M9" i="21"/>
  <c r="O9" i="21" s="1"/>
  <c r="C10" i="21"/>
  <c r="T10" i="21"/>
  <c r="N10" i="21"/>
  <c r="H7" i="21"/>
  <c r="J7" i="21" s="1"/>
  <c r="G7" i="21"/>
  <c r="L7" i="21"/>
  <c r="P8" i="21"/>
  <c r="P7" i="21"/>
  <c r="W7" i="21"/>
  <c r="X7" i="21" s="1"/>
  <c r="H8" i="20"/>
  <c r="J8" i="20" s="1"/>
  <c r="G8" i="20"/>
  <c r="M10" i="20"/>
  <c r="B10" i="20"/>
  <c r="D9" i="20"/>
  <c r="U10" i="20"/>
  <c r="C10" i="20"/>
  <c r="T10" i="20"/>
  <c r="V10" i="20" s="1"/>
  <c r="N10" i="20"/>
  <c r="V9" i="20"/>
  <c r="W9" i="20" s="1"/>
  <c r="X9" i="20" s="1"/>
  <c r="P8" i="20"/>
  <c r="P9" i="20"/>
  <c r="L8" i="20"/>
  <c r="B7" i="19"/>
  <c r="M7" i="19"/>
  <c r="O7" i="19" s="1"/>
  <c r="P7" i="19" s="1"/>
  <c r="U7" i="19"/>
  <c r="D6" i="19"/>
  <c r="R4" i="19"/>
  <c r="S4" i="19" s="1"/>
  <c r="L7" i="19"/>
  <c r="F8" i="19"/>
  <c r="T8" i="19"/>
  <c r="C8" i="19"/>
  <c r="N8" i="19"/>
  <c r="H5" i="19"/>
  <c r="J5" i="19" s="1"/>
  <c r="G5" i="19"/>
  <c r="I5" i="19" s="1"/>
  <c r="V7" i="19"/>
  <c r="W7" i="19" s="1"/>
  <c r="X7" i="19" s="1"/>
  <c r="L7" i="18"/>
  <c r="F8" i="18"/>
  <c r="R5" i="18"/>
  <c r="S5" i="18" s="1"/>
  <c r="H6" i="18"/>
  <c r="G6" i="18"/>
  <c r="I6" i="18" s="1"/>
  <c r="M8" i="18"/>
  <c r="B8" i="18"/>
  <c r="D7" i="18"/>
  <c r="U8" i="18"/>
  <c r="O7" i="18"/>
  <c r="P7" i="18" s="1"/>
  <c r="N8" i="18"/>
  <c r="T8" i="18"/>
  <c r="V8" i="18" s="1"/>
  <c r="W8" i="18" s="1"/>
  <c r="X8" i="18" s="1"/>
  <c r="C8" i="18"/>
  <c r="F9" i="17"/>
  <c r="G6" i="17"/>
  <c r="I6" i="17" s="1"/>
  <c r="H6" i="17"/>
  <c r="J6" i="17" s="1"/>
  <c r="R6" i="17" s="1"/>
  <c r="S6" i="17" s="1"/>
  <c r="O7" i="17"/>
  <c r="P7" i="17" s="1"/>
  <c r="R5" i="17"/>
  <c r="S5" i="17" s="1"/>
  <c r="M8" i="17"/>
  <c r="O8" i="17" s="1"/>
  <c r="P8" i="17" s="1"/>
  <c r="U8" i="17"/>
  <c r="B8" i="17"/>
  <c r="D7" i="17"/>
  <c r="T8" i="17"/>
  <c r="N8" i="17"/>
  <c r="C8" i="17"/>
  <c r="L8" i="22" l="1"/>
  <c r="F9" i="22"/>
  <c r="V8" i="22"/>
  <c r="W8" i="22" s="1"/>
  <c r="X8" i="22" s="1"/>
  <c r="H7" i="22"/>
  <c r="J7" i="22" s="1"/>
  <c r="R7" i="22" s="1"/>
  <c r="S7" i="22" s="1"/>
  <c r="G7" i="22"/>
  <c r="I7" i="22" s="1"/>
  <c r="N9" i="22"/>
  <c r="T9" i="22"/>
  <c r="C9" i="22"/>
  <c r="B9" i="22"/>
  <c r="D8" i="22"/>
  <c r="M9" i="22"/>
  <c r="O9" i="22" s="1"/>
  <c r="P9" i="22" s="1"/>
  <c r="U9" i="22"/>
  <c r="P8" i="22"/>
  <c r="T11" i="21"/>
  <c r="C11" i="21"/>
  <c r="N11" i="21"/>
  <c r="R7" i="21"/>
  <c r="S7" i="21" s="1"/>
  <c r="L8" i="21"/>
  <c r="H8" i="21"/>
  <c r="J8" i="21" s="1"/>
  <c r="G8" i="21"/>
  <c r="V10" i="21"/>
  <c r="B10" i="21"/>
  <c r="M10" i="21"/>
  <c r="O10" i="21" s="1"/>
  <c r="D9" i="21"/>
  <c r="U10" i="21"/>
  <c r="W8" i="21"/>
  <c r="X8" i="21" s="1"/>
  <c r="R8" i="20"/>
  <c r="S8" i="20" s="1"/>
  <c r="N11" i="20"/>
  <c r="T11" i="20"/>
  <c r="C11" i="20"/>
  <c r="G9" i="20"/>
  <c r="H9" i="20"/>
  <c r="J9" i="20" s="1"/>
  <c r="B11" i="20"/>
  <c r="M11" i="20"/>
  <c r="D10" i="20"/>
  <c r="U11" i="20"/>
  <c r="O10" i="20"/>
  <c r="L9" i="20"/>
  <c r="R9" i="20" s="1"/>
  <c r="S9" i="20" s="1"/>
  <c r="W10" i="20"/>
  <c r="X10" i="20" s="1"/>
  <c r="G6" i="19"/>
  <c r="I6" i="19" s="1"/>
  <c r="H6" i="19"/>
  <c r="J6" i="19" s="1"/>
  <c r="L8" i="19"/>
  <c r="F9" i="19"/>
  <c r="R5" i="19"/>
  <c r="S5" i="19" s="1"/>
  <c r="M8" i="19"/>
  <c r="O8" i="19" s="1"/>
  <c r="P8" i="19" s="1"/>
  <c r="U8" i="19"/>
  <c r="V8" i="19" s="1"/>
  <c r="W8" i="19" s="1"/>
  <c r="X8" i="19" s="1"/>
  <c r="B8" i="19"/>
  <c r="D7" i="19"/>
  <c r="N9" i="19"/>
  <c r="C9" i="19"/>
  <c r="T9" i="19"/>
  <c r="R6" i="18"/>
  <c r="S6" i="18" s="1"/>
  <c r="B9" i="18"/>
  <c r="M9" i="18"/>
  <c r="O9" i="18" s="1"/>
  <c r="P9" i="18" s="1"/>
  <c r="D8" i="18"/>
  <c r="U9" i="18"/>
  <c r="O8" i="18"/>
  <c r="P8" i="18" s="1"/>
  <c r="F9" i="18"/>
  <c r="L8" i="18"/>
  <c r="N9" i="18"/>
  <c r="C9" i="18"/>
  <c r="T9" i="18"/>
  <c r="H7" i="18"/>
  <c r="G7" i="18"/>
  <c r="I7" i="18" s="1"/>
  <c r="B9" i="17"/>
  <c r="U9" i="17"/>
  <c r="M9" i="17"/>
  <c r="D8" i="17"/>
  <c r="H7" i="17"/>
  <c r="J7" i="17" s="1"/>
  <c r="R7" i="17" s="1"/>
  <c r="S7" i="17" s="1"/>
  <c r="G7" i="17"/>
  <c r="I7" i="17" s="1"/>
  <c r="N9" i="17"/>
  <c r="T9" i="17"/>
  <c r="V9" i="17" s="1"/>
  <c r="W9" i="17" s="1"/>
  <c r="X9" i="17" s="1"/>
  <c r="C9" i="17"/>
  <c r="F10" i="17"/>
  <c r="V8" i="17"/>
  <c r="W8" i="17" s="1"/>
  <c r="X8" i="17" s="1"/>
  <c r="V9" i="22" l="1"/>
  <c r="W9" i="22" s="1"/>
  <c r="X9" i="22" s="1"/>
  <c r="M10" i="22"/>
  <c r="O10" i="22" s="1"/>
  <c r="U10" i="22"/>
  <c r="D9" i="22"/>
  <c r="B10" i="22"/>
  <c r="C10" i="22"/>
  <c r="N10" i="22"/>
  <c r="T10" i="22"/>
  <c r="V10" i="22" s="1"/>
  <c r="L9" i="22"/>
  <c r="F10" i="22"/>
  <c r="G8" i="22"/>
  <c r="I8" i="22" s="1"/>
  <c r="H8" i="22"/>
  <c r="J8" i="22" s="1"/>
  <c r="R8" i="21"/>
  <c r="S8" i="21" s="1"/>
  <c r="L9" i="21"/>
  <c r="P9" i="21"/>
  <c r="G9" i="21"/>
  <c r="H9" i="21"/>
  <c r="J9" i="21" s="1"/>
  <c r="P10" i="21"/>
  <c r="U11" i="21"/>
  <c r="V11" i="21" s="1"/>
  <c r="B11" i="21"/>
  <c r="M11" i="21"/>
  <c r="O11" i="21" s="1"/>
  <c r="D10" i="21"/>
  <c r="T12" i="21"/>
  <c r="C12" i="21"/>
  <c r="N12" i="21"/>
  <c r="W10" i="21"/>
  <c r="X10" i="21" s="1"/>
  <c r="W9" i="21"/>
  <c r="X9" i="21" s="1"/>
  <c r="P10" i="20"/>
  <c r="H10" i="20"/>
  <c r="J10" i="20" s="1"/>
  <c r="G10" i="20"/>
  <c r="O11" i="20"/>
  <c r="D11" i="20"/>
  <c r="B12" i="20"/>
  <c r="U12" i="20"/>
  <c r="M12" i="20"/>
  <c r="O12" i="20" s="1"/>
  <c r="C12" i="20"/>
  <c r="N12" i="20"/>
  <c r="T12" i="20"/>
  <c r="V11" i="20"/>
  <c r="L10" i="20"/>
  <c r="R10" i="20" s="1"/>
  <c r="S10" i="20" s="1"/>
  <c r="R6" i="19"/>
  <c r="S6" i="19" s="1"/>
  <c r="F10" i="19"/>
  <c r="L9" i="19"/>
  <c r="B9" i="19"/>
  <c r="U9" i="19"/>
  <c r="V9" i="19" s="1"/>
  <c r="W9" i="19" s="1"/>
  <c r="X9" i="19" s="1"/>
  <c r="D8" i="19"/>
  <c r="M9" i="19"/>
  <c r="O9" i="19" s="1"/>
  <c r="P9" i="19" s="1"/>
  <c r="C10" i="19"/>
  <c r="T10" i="19"/>
  <c r="N10" i="19"/>
  <c r="H7" i="19"/>
  <c r="J7" i="19" s="1"/>
  <c r="G7" i="19"/>
  <c r="I7" i="19" s="1"/>
  <c r="R7" i="18"/>
  <c r="S7" i="18" s="1"/>
  <c r="F10" i="18"/>
  <c r="L9" i="18"/>
  <c r="H8" i="18"/>
  <c r="G8" i="18"/>
  <c r="I8" i="18" s="1"/>
  <c r="V9" i="18"/>
  <c r="W9" i="18" s="1"/>
  <c r="X9" i="18" s="1"/>
  <c r="U10" i="18"/>
  <c r="B10" i="18"/>
  <c r="M10" i="18"/>
  <c r="O10" i="18" s="1"/>
  <c r="P10" i="18" s="1"/>
  <c r="D9" i="18"/>
  <c r="C10" i="18"/>
  <c r="T10" i="18"/>
  <c r="V10" i="18" s="1"/>
  <c r="W10" i="18" s="1"/>
  <c r="X10" i="18" s="1"/>
  <c r="N10" i="18"/>
  <c r="C10" i="17"/>
  <c r="N10" i="17"/>
  <c r="T10" i="17"/>
  <c r="V10" i="17" s="1"/>
  <c r="W10" i="17" s="1"/>
  <c r="X10" i="17" s="1"/>
  <c r="H8" i="17"/>
  <c r="J8" i="17" s="1"/>
  <c r="R8" i="17" s="1"/>
  <c r="S8" i="17" s="1"/>
  <c r="G8" i="17"/>
  <c r="I8" i="17" s="1"/>
  <c r="O9" i="17"/>
  <c r="P9" i="17" s="1"/>
  <c r="F11" i="17"/>
  <c r="B10" i="17"/>
  <c r="M10" i="17"/>
  <c r="D9" i="17"/>
  <c r="U10" i="17"/>
  <c r="R8" i="22" l="1"/>
  <c r="S8" i="22" s="1"/>
  <c r="W10" i="22"/>
  <c r="X10" i="22" s="1"/>
  <c r="P10" i="22"/>
  <c r="N11" i="22"/>
  <c r="C11" i="22"/>
  <c r="T11" i="22"/>
  <c r="V11" i="22" s="1"/>
  <c r="W11" i="22" s="1"/>
  <c r="X11" i="22" s="1"/>
  <c r="B11" i="22"/>
  <c r="U11" i="22"/>
  <c r="D10" i="22"/>
  <c r="M11" i="22"/>
  <c r="O11" i="22" s="1"/>
  <c r="H9" i="22"/>
  <c r="J9" i="22" s="1"/>
  <c r="R9" i="22" s="1"/>
  <c r="S9" i="22" s="1"/>
  <c r="G9" i="22"/>
  <c r="I9" i="22" s="1"/>
  <c r="L10" i="22"/>
  <c r="F11" i="22"/>
  <c r="D11" i="21"/>
  <c r="M12" i="21"/>
  <c r="O12" i="21" s="1"/>
  <c r="U12" i="21"/>
  <c r="V12" i="21" s="1"/>
  <c r="B12" i="21"/>
  <c r="R9" i="21"/>
  <c r="S9" i="21" s="1"/>
  <c r="H10" i="21"/>
  <c r="J10" i="21" s="1"/>
  <c r="G10" i="21"/>
  <c r="C13" i="21"/>
  <c r="N13" i="21"/>
  <c r="T13" i="21"/>
  <c r="P11" i="21"/>
  <c r="L10" i="21"/>
  <c r="W11" i="20"/>
  <c r="X11" i="20" s="1"/>
  <c r="C13" i="20"/>
  <c r="T13" i="20"/>
  <c r="N13" i="20"/>
  <c r="M13" i="20"/>
  <c r="B13" i="20"/>
  <c r="U13" i="20"/>
  <c r="D12" i="20"/>
  <c r="L11" i="20"/>
  <c r="H11" i="20"/>
  <c r="J11" i="20" s="1"/>
  <c r="G11" i="20"/>
  <c r="P11" i="20"/>
  <c r="V12" i="20"/>
  <c r="H8" i="19"/>
  <c r="J8" i="19" s="1"/>
  <c r="G8" i="19"/>
  <c r="I8" i="19" s="1"/>
  <c r="T11" i="19"/>
  <c r="N11" i="19"/>
  <c r="C11" i="19"/>
  <c r="D9" i="19"/>
  <c r="U10" i="19"/>
  <c r="B10" i="19"/>
  <c r="M10" i="19"/>
  <c r="O10" i="19" s="1"/>
  <c r="P10" i="19" s="1"/>
  <c r="R7" i="19"/>
  <c r="S7" i="19" s="1"/>
  <c r="F11" i="19"/>
  <c r="L10" i="19"/>
  <c r="V10" i="19"/>
  <c r="W10" i="19" s="1"/>
  <c r="X10" i="19" s="1"/>
  <c r="R8" i="18"/>
  <c r="S8" i="18" s="1"/>
  <c r="D10" i="18"/>
  <c r="U11" i="18"/>
  <c r="M11" i="18"/>
  <c r="B11" i="18"/>
  <c r="F11" i="18"/>
  <c r="L10" i="18"/>
  <c r="T11" i="18"/>
  <c r="V11" i="18" s="1"/>
  <c r="W11" i="18" s="1"/>
  <c r="X11" i="18" s="1"/>
  <c r="C11" i="18"/>
  <c r="N11" i="18"/>
  <c r="H9" i="18"/>
  <c r="G9" i="18"/>
  <c r="I9" i="18" s="1"/>
  <c r="U11" i="17"/>
  <c r="B11" i="17"/>
  <c r="D10" i="17"/>
  <c r="M11" i="17"/>
  <c r="T11" i="17"/>
  <c r="V11" i="17" s="1"/>
  <c r="W11" i="17" s="1"/>
  <c r="X11" i="17" s="1"/>
  <c r="C11" i="17"/>
  <c r="N11" i="17"/>
  <c r="F12" i="17"/>
  <c r="G9" i="17"/>
  <c r="I9" i="17" s="1"/>
  <c r="H9" i="17"/>
  <c r="J9" i="17" s="1"/>
  <c r="R9" i="17" s="1"/>
  <c r="S9" i="17" s="1"/>
  <c r="O10" i="17"/>
  <c r="P10" i="17" s="1"/>
  <c r="H10" i="22" l="1"/>
  <c r="J10" i="22" s="1"/>
  <c r="G10" i="22"/>
  <c r="I10" i="22" s="1"/>
  <c r="D11" i="22"/>
  <c r="B12" i="22"/>
  <c r="M12" i="22"/>
  <c r="O12" i="22" s="1"/>
  <c r="U12" i="22"/>
  <c r="P11" i="22"/>
  <c r="C12" i="22"/>
  <c r="T12" i="22"/>
  <c r="V12" i="22" s="1"/>
  <c r="N12" i="22"/>
  <c r="F12" i="22"/>
  <c r="L11" i="22"/>
  <c r="R10" i="21"/>
  <c r="S10" i="21" s="1"/>
  <c r="B13" i="21"/>
  <c r="M13" i="21"/>
  <c r="O13" i="21" s="1"/>
  <c r="D12" i="21"/>
  <c r="U13" i="21"/>
  <c r="V13" i="21" s="1"/>
  <c r="T14" i="21"/>
  <c r="C14" i="21"/>
  <c r="N14" i="21"/>
  <c r="P12" i="21"/>
  <c r="L11" i="21"/>
  <c r="R11" i="21" s="1"/>
  <c r="S11" i="21" s="1"/>
  <c r="G11" i="21"/>
  <c r="H11" i="21"/>
  <c r="J11" i="21" s="1"/>
  <c r="W11" i="21"/>
  <c r="X11" i="21" s="1"/>
  <c r="L12" i="20"/>
  <c r="D13" i="20"/>
  <c r="B14" i="20"/>
  <c r="M14" i="20"/>
  <c r="O14" i="20" s="1"/>
  <c r="U14" i="20"/>
  <c r="H12" i="20"/>
  <c r="J12" i="20" s="1"/>
  <c r="G12" i="20"/>
  <c r="O13" i="20"/>
  <c r="P13" i="20" s="1"/>
  <c r="W12" i="20"/>
  <c r="X12" i="20" s="1"/>
  <c r="V13" i="20"/>
  <c r="W13" i="20" s="1"/>
  <c r="X13" i="20" s="1"/>
  <c r="P12" i="20"/>
  <c r="R12" i="20" s="1"/>
  <c r="S12" i="20" s="1"/>
  <c r="R11" i="20"/>
  <c r="S11" i="20" s="1"/>
  <c r="N14" i="20"/>
  <c r="T14" i="20"/>
  <c r="V14" i="20" s="1"/>
  <c r="C14" i="20"/>
  <c r="D10" i="19"/>
  <c r="M11" i="19"/>
  <c r="O11" i="19" s="1"/>
  <c r="P11" i="19" s="1"/>
  <c r="U11" i="19"/>
  <c r="B11" i="19"/>
  <c r="H9" i="19"/>
  <c r="J9" i="19" s="1"/>
  <c r="G9" i="19"/>
  <c r="I9" i="19" s="1"/>
  <c r="V11" i="19"/>
  <c r="W11" i="19" s="1"/>
  <c r="X11" i="19" s="1"/>
  <c r="T12" i="19"/>
  <c r="N12" i="19"/>
  <c r="C12" i="19"/>
  <c r="L11" i="19"/>
  <c r="F12" i="19"/>
  <c r="R8" i="19"/>
  <c r="S8" i="19" s="1"/>
  <c r="R9" i="18"/>
  <c r="S9" i="18" s="1"/>
  <c r="N12" i="18"/>
  <c r="C12" i="18"/>
  <c r="T12" i="18"/>
  <c r="F12" i="18"/>
  <c r="L11" i="18"/>
  <c r="D11" i="18"/>
  <c r="B12" i="18"/>
  <c r="M12" i="18"/>
  <c r="O12" i="18" s="1"/>
  <c r="P12" i="18" s="1"/>
  <c r="U12" i="18"/>
  <c r="O11" i="18"/>
  <c r="P11" i="18" s="1"/>
  <c r="G10" i="18"/>
  <c r="I10" i="18" s="1"/>
  <c r="H10" i="18"/>
  <c r="R10" i="18" s="1"/>
  <c r="S10" i="18" s="1"/>
  <c r="H10" i="17"/>
  <c r="J10" i="17" s="1"/>
  <c r="G10" i="17"/>
  <c r="I10" i="17" s="1"/>
  <c r="D11" i="17"/>
  <c r="M12" i="17"/>
  <c r="O12" i="17" s="1"/>
  <c r="P12" i="17" s="1"/>
  <c r="B12" i="17"/>
  <c r="U12" i="17"/>
  <c r="F13" i="17"/>
  <c r="O11" i="17"/>
  <c r="P11" i="17" s="1"/>
  <c r="R10" i="17"/>
  <c r="S10" i="17" s="1"/>
  <c r="T12" i="17"/>
  <c r="C12" i="17"/>
  <c r="N12" i="17"/>
  <c r="P12" i="22" l="1"/>
  <c r="W12" i="22"/>
  <c r="X12" i="22" s="1"/>
  <c r="R10" i="22"/>
  <c r="S10" i="22" s="1"/>
  <c r="N13" i="22"/>
  <c r="C13" i="22"/>
  <c r="T13" i="22"/>
  <c r="U13" i="22"/>
  <c r="D12" i="22"/>
  <c r="M13" i="22"/>
  <c r="O13" i="22" s="1"/>
  <c r="B13" i="22"/>
  <c r="G11" i="22"/>
  <c r="I11" i="22" s="1"/>
  <c r="H11" i="22"/>
  <c r="J11" i="22" s="1"/>
  <c r="R11" i="22" s="1"/>
  <c r="S11" i="22" s="1"/>
  <c r="F13" i="22"/>
  <c r="L12" i="22"/>
  <c r="T15" i="21"/>
  <c r="N15" i="21"/>
  <c r="C15" i="21"/>
  <c r="H12" i="21"/>
  <c r="J12" i="21" s="1"/>
  <c r="G12" i="21"/>
  <c r="U14" i="21"/>
  <c r="V14" i="21" s="1"/>
  <c r="D13" i="21"/>
  <c r="B14" i="21"/>
  <c r="M14" i="21"/>
  <c r="O14" i="21" s="1"/>
  <c r="P13" i="21"/>
  <c r="L12" i="21"/>
  <c r="R12" i="21" s="1"/>
  <c r="S12" i="21" s="1"/>
  <c r="W12" i="21"/>
  <c r="X12" i="21" s="1"/>
  <c r="T15" i="20"/>
  <c r="C15" i="20"/>
  <c r="N15" i="20"/>
  <c r="D14" i="20"/>
  <c r="B15" i="20"/>
  <c r="M15" i="20"/>
  <c r="O15" i="20" s="1"/>
  <c r="U15" i="20"/>
  <c r="H13" i="20"/>
  <c r="J13" i="20" s="1"/>
  <c r="G13" i="20"/>
  <c r="L13" i="20"/>
  <c r="W14" i="20"/>
  <c r="X14" i="20" s="1"/>
  <c r="R9" i="19"/>
  <c r="S9" i="19" s="1"/>
  <c r="D11" i="19"/>
  <c r="M12" i="19"/>
  <c r="O12" i="19" s="1"/>
  <c r="P12" i="19" s="1"/>
  <c r="B12" i="19"/>
  <c r="U12" i="19"/>
  <c r="V12" i="19" s="1"/>
  <c r="W12" i="19" s="1"/>
  <c r="X12" i="19" s="1"/>
  <c r="F13" i="19"/>
  <c r="L12" i="19"/>
  <c r="G10" i="19"/>
  <c r="I10" i="19" s="1"/>
  <c r="H10" i="19"/>
  <c r="J10" i="19" s="1"/>
  <c r="N13" i="19"/>
  <c r="T13" i="19"/>
  <c r="C13" i="19"/>
  <c r="H11" i="18"/>
  <c r="G11" i="18"/>
  <c r="I11" i="18" s="1"/>
  <c r="R11" i="18" s="1"/>
  <c r="S11" i="18" s="1"/>
  <c r="U13" i="18"/>
  <c r="B13" i="18"/>
  <c r="M13" i="18"/>
  <c r="O13" i="18" s="1"/>
  <c r="P13" i="18" s="1"/>
  <c r="D12" i="18"/>
  <c r="F13" i="18"/>
  <c r="L12" i="18"/>
  <c r="V12" i="18"/>
  <c r="W12" i="18" s="1"/>
  <c r="X12" i="18" s="1"/>
  <c r="T13" i="18"/>
  <c r="C13" i="18"/>
  <c r="N13" i="18"/>
  <c r="B13" i="17"/>
  <c r="M13" i="17"/>
  <c r="D12" i="17"/>
  <c r="U13" i="17"/>
  <c r="H11" i="17"/>
  <c r="J11" i="17" s="1"/>
  <c r="R11" i="17" s="1"/>
  <c r="S11" i="17" s="1"/>
  <c r="G11" i="17"/>
  <c r="I11" i="17" s="1"/>
  <c r="F14" i="17"/>
  <c r="N13" i="17"/>
  <c r="T13" i="17"/>
  <c r="V13" i="17" s="1"/>
  <c r="W13" i="17" s="1"/>
  <c r="X13" i="17" s="1"/>
  <c r="C13" i="17"/>
  <c r="V12" i="17"/>
  <c r="W12" i="17" s="1"/>
  <c r="X12" i="17" s="1"/>
  <c r="D13" i="22" l="1"/>
  <c r="M14" i="22"/>
  <c r="O14" i="22" s="1"/>
  <c r="U14" i="22"/>
  <c r="B14" i="22"/>
  <c r="P13" i="22"/>
  <c r="H12" i="22"/>
  <c r="J12" i="22" s="1"/>
  <c r="R12" i="22" s="1"/>
  <c r="S12" i="22" s="1"/>
  <c r="G12" i="22"/>
  <c r="I12" i="22" s="1"/>
  <c r="L13" i="22"/>
  <c r="F14" i="22"/>
  <c r="V13" i="22"/>
  <c r="W13" i="22" s="1"/>
  <c r="X13" i="22" s="1"/>
  <c r="C14" i="22"/>
  <c r="T14" i="22"/>
  <c r="N14" i="22"/>
  <c r="H13" i="21"/>
  <c r="J13" i="21" s="1"/>
  <c r="G13" i="21"/>
  <c r="N16" i="21"/>
  <c r="T16" i="21"/>
  <c r="C16" i="21"/>
  <c r="L13" i="21"/>
  <c r="R13" i="21" s="1"/>
  <c r="S13" i="21" s="1"/>
  <c r="V15" i="21"/>
  <c r="P14" i="21"/>
  <c r="W13" i="21"/>
  <c r="X13" i="21" s="1"/>
  <c r="M15" i="21"/>
  <c r="O15" i="21" s="1"/>
  <c r="D14" i="21"/>
  <c r="U15" i="21"/>
  <c r="B15" i="21"/>
  <c r="R13" i="20"/>
  <c r="S13" i="20" s="1"/>
  <c r="U16" i="20"/>
  <c r="B16" i="20"/>
  <c r="M16" i="20"/>
  <c r="D15" i="20"/>
  <c r="G14" i="20"/>
  <c r="H14" i="20"/>
  <c r="J14" i="20" s="1"/>
  <c r="C16" i="20"/>
  <c r="N16" i="20"/>
  <c r="T16" i="20"/>
  <c r="V16" i="20" s="1"/>
  <c r="V15" i="20"/>
  <c r="L14" i="20"/>
  <c r="P14" i="20"/>
  <c r="L13" i="19"/>
  <c r="F14" i="19"/>
  <c r="B13" i="19"/>
  <c r="M13" i="19"/>
  <c r="O13" i="19" s="1"/>
  <c r="P13" i="19" s="1"/>
  <c r="U13" i="19"/>
  <c r="V13" i="19" s="1"/>
  <c r="W13" i="19" s="1"/>
  <c r="X13" i="19" s="1"/>
  <c r="D12" i="19"/>
  <c r="G11" i="19"/>
  <c r="I11" i="19" s="1"/>
  <c r="H11" i="19"/>
  <c r="J11" i="19" s="1"/>
  <c r="C14" i="19"/>
  <c r="N14" i="19"/>
  <c r="T14" i="19"/>
  <c r="R10" i="19"/>
  <c r="S10" i="19" s="1"/>
  <c r="F14" i="18"/>
  <c r="L13" i="18"/>
  <c r="H12" i="18"/>
  <c r="R12" i="18" s="1"/>
  <c r="S12" i="18" s="1"/>
  <c r="G12" i="18"/>
  <c r="I12" i="18" s="1"/>
  <c r="U14" i="18"/>
  <c r="D13" i="18"/>
  <c r="M14" i="18"/>
  <c r="O14" i="18" s="1"/>
  <c r="P14" i="18" s="1"/>
  <c r="B14" i="18"/>
  <c r="V13" i="18"/>
  <c r="W13" i="18" s="1"/>
  <c r="X13" i="18" s="1"/>
  <c r="T14" i="18"/>
  <c r="N14" i="18"/>
  <c r="C14" i="18"/>
  <c r="G12" i="17"/>
  <c r="I12" i="17" s="1"/>
  <c r="H12" i="17"/>
  <c r="J12" i="17" s="1"/>
  <c r="F15" i="17"/>
  <c r="O13" i="17"/>
  <c r="P13" i="17" s="1"/>
  <c r="B14" i="17"/>
  <c r="U14" i="17"/>
  <c r="D13" i="17"/>
  <c r="M14" i="17"/>
  <c r="C14" i="17"/>
  <c r="N14" i="17"/>
  <c r="T14" i="17"/>
  <c r="V14" i="17" s="1"/>
  <c r="W14" i="17" s="1"/>
  <c r="X14" i="17" s="1"/>
  <c r="P14" i="22" l="1"/>
  <c r="T15" i="22"/>
  <c r="V15" i="22" s="1"/>
  <c r="N15" i="22"/>
  <c r="C15" i="22"/>
  <c r="F15" i="22"/>
  <c r="L14" i="22"/>
  <c r="B15" i="22"/>
  <c r="M15" i="22"/>
  <c r="O15" i="22" s="1"/>
  <c r="P15" i="22" s="1"/>
  <c r="D14" i="22"/>
  <c r="U15" i="22"/>
  <c r="H13" i="22"/>
  <c r="J13" i="22" s="1"/>
  <c r="R13" i="22" s="1"/>
  <c r="S13" i="22" s="1"/>
  <c r="G13" i="22"/>
  <c r="I13" i="22" s="1"/>
  <c r="V14" i="22"/>
  <c r="W14" i="22" s="1"/>
  <c r="X14" i="22" s="1"/>
  <c r="L14" i="21"/>
  <c r="P15" i="21"/>
  <c r="C17" i="21"/>
  <c r="T17" i="21"/>
  <c r="N17" i="21"/>
  <c r="W15" i="21"/>
  <c r="X15" i="21" s="1"/>
  <c r="U16" i="21"/>
  <c r="V16" i="21" s="1"/>
  <c r="B16" i="21"/>
  <c r="M16" i="21"/>
  <c r="O16" i="21" s="1"/>
  <c r="D15" i="21"/>
  <c r="G14" i="21"/>
  <c r="H14" i="21"/>
  <c r="J14" i="21" s="1"/>
  <c r="W14" i="21"/>
  <c r="X14" i="21" s="1"/>
  <c r="T17" i="20"/>
  <c r="C17" i="20"/>
  <c r="N17" i="20"/>
  <c r="H15" i="20"/>
  <c r="J15" i="20" s="1"/>
  <c r="G15" i="20"/>
  <c r="W15" i="20"/>
  <c r="X15" i="20" s="1"/>
  <c r="O16" i="20"/>
  <c r="L15" i="20"/>
  <c r="U17" i="20"/>
  <c r="D16" i="20"/>
  <c r="M17" i="20"/>
  <c r="B17" i="20"/>
  <c r="R14" i="20"/>
  <c r="S14" i="20" s="1"/>
  <c r="P15" i="20"/>
  <c r="T15" i="19"/>
  <c r="C15" i="19"/>
  <c r="N15" i="19"/>
  <c r="H12" i="19"/>
  <c r="J12" i="19" s="1"/>
  <c r="G12" i="19"/>
  <c r="I12" i="19" s="1"/>
  <c r="B14" i="19"/>
  <c r="U14" i="19"/>
  <c r="V14" i="19" s="1"/>
  <c r="W14" i="19" s="1"/>
  <c r="X14" i="19" s="1"/>
  <c r="M14" i="19"/>
  <c r="O14" i="19" s="1"/>
  <c r="P14" i="19" s="1"/>
  <c r="D13" i="19"/>
  <c r="F15" i="19"/>
  <c r="L14" i="19"/>
  <c r="R11" i="19"/>
  <c r="S11" i="19" s="1"/>
  <c r="V14" i="18"/>
  <c r="W14" i="18" s="1"/>
  <c r="X14" i="18" s="1"/>
  <c r="H13" i="18"/>
  <c r="G13" i="18"/>
  <c r="I13" i="18" s="1"/>
  <c r="U15" i="18"/>
  <c r="B15" i="18"/>
  <c r="D14" i="18"/>
  <c r="M15" i="18"/>
  <c r="O15" i="18" s="1"/>
  <c r="P15" i="18" s="1"/>
  <c r="T15" i="18"/>
  <c r="V15" i="18" s="1"/>
  <c r="W15" i="18" s="1"/>
  <c r="X15" i="18" s="1"/>
  <c r="C15" i="18"/>
  <c r="N15" i="18"/>
  <c r="F15" i="18"/>
  <c r="L14" i="18"/>
  <c r="U15" i="17"/>
  <c r="B15" i="17"/>
  <c r="D14" i="17"/>
  <c r="M15" i="17"/>
  <c r="F16" i="17"/>
  <c r="T15" i="17"/>
  <c r="V15" i="17" s="1"/>
  <c r="W15" i="17" s="1"/>
  <c r="X15" i="17" s="1"/>
  <c r="C15" i="17"/>
  <c r="N15" i="17"/>
  <c r="O14" i="17"/>
  <c r="P14" i="17" s="1"/>
  <c r="H13" i="17"/>
  <c r="J13" i="17" s="1"/>
  <c r="R13" i="17" s="1"/>
  <c r="S13" i="17" s="1"/>
  <c r="G13" i="17"/>
  <c r="I13" i="17" s="1"/>
  <c r="R12" i="17"/>
  <c r="S12" i="17" s="1"/>
  <c r="W15" i="22" l="1"/>
  <c r="X15" i="22" s="1"/>
  <c r="U16" i="22"/>
  <c r="D15" i="22"/>
  <c r="B16" i="22"/>
  <c r="M16" i="22"/>
  <c r="F16" i="22"/>
  <c r="L15" i="22"/>
  <c r="G14" i="22"/>
  <c r="I14" i="22" s="1"/>
  <c r="H14" i="22"/>
  <c r="J14" i="22" s="1"/>
  <c r="R14" i="22" s="1"/>
  <c r="S14" i="22" s="1"/>
  <c r="T16" i="22"/>
  <c r="V16" i="22" s="1"/>
  <c r="W16" i="22" s="1"/>
  <c r="X16" i="22" s="1"/>
  <c r="C16" i="22"/>
  <c r="N16" i="22"/>
  <c r="R14" i="21"/>
  <c r="S14" i="21" s="1"/>
  <c r="D16" i="21"/>
  <c r="M17" i="21"/>
  <c r="O17" i="21" s="1"/>
  <c r="B17" i="21"/>
  <c r="U17" i="21"/>
  <c r="V17" i="21" s="1"/>
  <c r="T18" i="21"/>
  <c r="N18" i="21"/>
  <c r="C18" i="21"/>
  <c r="H15" i="21"/>
  <c r="J15" i="21" s="1"/>
  <c r="G15" i="21"/>
  <c r="P16" i="21"/>
  <c r="L15" i="21"/>
  <c r="L16" i="20"/>
  <c r="P16" i="20"/>
  <c r="G16" i="20"/>
  <c r="H16" i="20"/>
  <c r="J16" i="20" s="1"/>
  <c r="R15" i="20"/>
  <c r="S15" i="20" s="1"/>
  <c r="W16" i="20"/>
  <c r="X16" i="20" s="1"/>
  <c r="U18" i="20"/>
  <c r="D17" i="20"/>
  <c r="B18" i="20"/>
  <c r="M18" i="20"/>
  <c r="O18" i="20" s="1"/>
  <c r="T18" i="20"/>
  <c r="V18" i="20" s="1"/>
  <c r="C18" i="20"/>
  <c r="N18" i="20"/>
  <c r="O17" i="20"/>
  <c r="P17" i="20" s="1"/>
  <c r="V17" i="20"/>
  <c r="W17" i="20" s="1"/>
  <c r="X17" i="20" s="1"/>
  <c r="R12" i="19"/>
  <c r="S12" i="19" s="1"/>
  <c r="L15" i="19"/>
  <c r="F16" i="19"/>
  <c r="M15" i="19"/>
  <c r="O15" i="19" s="1"/>
  <c r="P15" i="19" s="1"/>
  <c r="U15" i="19"/>
  <c r="V15" i="19" s="1"/>
  <c r="W15" i="19" s="1"/>
  <c r="X15" i="19" s="1"/>
  <c r="B15" i="19"/>
  <c r="D14" i="19"/>
  <c r="H13" i="19"/>
  <c r="J13" i="19" s="1"/>
  <c r="G13" i="19"/>
  <c r="I13" i="19" s="1"/>
  <c r="T16" i="19"/>
  <c r="C16" i="19"/>
  <c r="N16" i="19"/>
  <c r="L15" i="18"/>
  <c r="F16" i="18"/>
  <c r="C16" i="18"/>
  <c r="N16" i="18"/>
  <c r="T16" i="18"/>
  <c r="G14" i="18"/>
  <c r="I14" i="18" s="1"/>
  <c r="H14" i="18"/>
  <c r="R13" i="18"/>
  <c r="S13" i="18" s="1"/>
  <c r="U16" i="18"/>
  <c r="B16" i="18"/>
  <c r="M16" i="18"/>
  <c r="O16" i="18" s="1"/>
  <c r="P16" i="18" s="1"/>
  <c r="D15" i="18"/>
  <c r="F17" i="17"/>
  <c r="T16" i="17"/>
  <c r="N16" i="17"/>
  <c r="C16" i="17"/>
  <c r="O15" i="17"/>
  <c r="P15" i="17" s="1"/>
  <c r="G14" i="17"/>
  <c r="I14" i="17" s="1"/>
  <c r="H14" i="17"/>
  <c r="J14" i="17" s="1"/>
  <c r="R14" i="17" s="1"/>
  <c r="S14" i="17" s="1"/>
  <c r="U16" i="17"/>
  <c r="D15" i="17"/>
  <c r="M16" i="17"/>
  <c r="O16" i="17" s="1"/>
  <c r="P16" i="17" s="1"/>
  <c r="B16" i="17"/>
  <c r="T17" i="22" l="1"/>
  <c r="C17" i="22"/>
  <c r="N17" i="22"/>
  <c r="F17" i="22"/>
  <c r="L16" i="22"/>
  <c r="O16" i="22"/>
  <c r="P16" i="22" s="1"/>
  <c r="U17" i="22"/>
  <c r="M17" i="22"/>
  <c r="O17" i="22" s="1"/>
  <c r="P17" i="22" s="1"/>
  <c r="D16" i="22"/>
  <c r="B17" i="22"/>
  <c r="H15" i="22"/>
  <c r="J15" i="22" s="1"/>
  <c r="R15" i="22" s="1"/>
  <c r="S15" i="22" s="1"/>
  <c r="G15" i="22"/>
  <c r="I15" i="22" s="1"/>
  <c r="R15" i="21"/>
  <c r="S15" i="21" s="1"/>
  <c r="M18" i="21"/>
  <c r="O18" i="21" s="1"/>
  <c r="B18" i="21"/>
  <c r="U18" i="21"/>
  <c r="D17" i="21"/>
  <c r="P17" i="21"/>
  <c r="T19" i="21"/>
  <c r="C19" i="21"/>
  <c r="N19" i="21"/>
  <c r="G16" i="21"/>
  <c r="H16" i="21"/>
  <c r="J16" i="21" s="1"/>
  <c r="V18" i="21"/>
  <c r="L16" i="21"/>
  <c r="W16" i="21"/>
  <c r="X16" i="21" s="1"/>
  <c r="U19" i="20"/>
  <c r="D18" i="20"/>
  <c r="B19" i="20"/>
  <c r="M19" i="20"/>
  <c r="H17" i="20"/>
  <c r="J17" i="20" s="1"/>
  <c r="G17" i="20"/>
  <c r="R16" i="20"/>
  <c r="S16" i="20" s="1"/>
  <c r="L17" i="20"/>
  <c r="R17" i="20" s="1"/>
  <c r="S17" i="20" s="1"/>
  <c r="C19" i="20"/>
  <c r="T19" i="20"/>
  <c r="V19" i="20" s="1"/>
  <c r="N19" i="20"/>
  <c r="R13" i="19"/>
  <c r="S13" i="19" s="1"/>
  <c r="G14" i="19"/>
  <c r="I14" i="19" s="1"/>
  <c r="H14" i="19"/>
  <c r="J14" i="19" s="1"/>
  <c r="R14" i="19" s="1"/>
  <c r="S14" i="19" s="1"/>
  <c r="U16" i="19"/>
  <c r="D15" i="19"/>
  <c r="B16" i="19"/>
  <c r="M16" i="19"/>
  <c r="O16" i="19" s="1"/>
  <c r="P16" i="19" s="1"/>
  <c r="T17" i="19"/>
  <c r="C17" i="19"/>
  <c r="N17" i="19"/>
  <c r="V16" i="19"/>
  <c r="W16" i="19" s="1"/>
  <c r="X16" i="19" s="1"/>
  <c r="F17" i="19"/>
  <c r="L16" i="19"/>
  <c r="R14" i="18"/>
  <c r="S14" i="18" s="1"/>
  <c r="D16" i="18"/>
  <c r="U17" i="18"/>
  <c r="B17" i="18"/>
  <c r="M17" i="18"/>
  <c r="T17" i="18"/>
  <c r="C17" i="18"/>
  <c r="N17" i="18"/>
  <c r="V16" i="18"/>
  <c r="W16" i="18" s="1"/>
  <c r="X16" i="18" s="1"/>
  <c r="F17" i="18"/>
  <c r="L16" i="18"/>
  <c r="H15" i="18"/>
  <c r="R15" i="18" s="1"/>
  <c r="S15" i="18" s="1"/>
  <c r="G15" i="18"/>
  <c r="I15" i="18" s="1"/>
  <c r="H15" i="17"/>
  <c r="J15" i="17" s="1"/>
  <c r="G15" i="17"/>
  <c r="I15" i="17" s="1"/>
  <c r="N17" i="17"/>
  <c r="T17" i="17"/>
  <c r="C17" i="17"/>
  <c r="R15" i="17"/>
  <c r="S15" i="17" s="1"/>
  <c r="V16" i="17"/>
  <c r="W16" i="17" s="1"/>
  <c r="X16" i="17" s="1"/>
  <c r="F18" i="17"/>
  <c r="U17" i="17"/>
  <c r="D16" i="17"/>
  <c r="M17" i="17"/>
  <c r="O17" i="17" s="1"/>
  <c r="P17" i="17" s="1"/>
  <c r="B17" i="17"/>
  <c r="H16" i="22" l="1"/>
  <c r="J16" i="22" s="1"/>
  <c r="G16" i="22"/>
  <c r="I16" i="22" s="1"/>
  <c r="R16" i="22" s="1"/>
  <c r="S16" i="22" s="1"/>
  <c r="L17" i="22"/>
  <c r="F18" i="22"/>
  <c r="U18" i="22"/>
  <c r="D17" i="22"/>
  <c r="B18" i="22"/>
  <c r="M18" i="22"/>
  <c r="O18" i="22" s="1"/>
  <c r="P18" i="22" s="1"/>
  <c r="N18" i="22"/>
  <c r="C18" i="22"/>
  <c r="T18" i="22"/>
  <c r="V17" i="22"/>
  <c r="W17" i="22" s="1"/>
  <c r="X17" i="22" s="1"/>
  <c r="R16" i="21"/>
  <c r="S16" i="21" s="1"/>
  <c r="G17" i="21"/>
  <c r="H17" i="21"/>
  <c r="J17" i="21" s="1"/>
  <c r="T20" i="21"/>
  <c r="C20" i="21"/>
  <c r="N20" i="21"/>
  <c r="U19" i="21"/>
  <c r="V19" i="21" s="1"/>
  <c r="D18" i="21"/>
  <c r="M19" i="21"/>
  <c r="O19" i="21" s="1"/>
  <c r="B19" i="21"/>
  <c r="L17" i="21"/>
  <c r="W17" i="21"/>
  <c r="X17" i="21" s="1"/>
  <c r="L18" i="20"/>
  <c r="W18" i="20"/>
  <c r="X18" i="20" s="1"/>
  <c r="P18" i="20"/>
  <c r="O19" i="20"/>
  <c r="P19" i="20" s="1"/>
  <c r="M20" i="20"/>
  <c r="O20" i="20" s="1"/>
  <c r="B20" i="20"/>
  <c r="U20" i="20"/>
  <c r="D19" i="20"/>
  <c r="W19" i="20"/>
  <c r="X19" i="20" s="1"/>
  <c r="H18" i="20"/>
  <c r="J18" i="20" s="1"/>
  <c r="G18" i="20"/>
  <c r="T20" i="20"/>
  <c r="C20" i="20"/>
  <c r="N20" i="20"/>
  <c r="F18" i="19"/>
  <c r="L17" i="19"/>
  <c r="N18" i="19"/>
  <c r="T18" i="19"/>
  <c r="C18" i="19"/>
  <c r="D16" i="19"/>
  <c r="M17" i="19"/>
  <c r="O17" i="19" s="1"/>
  <c r="P17" i="19" s="1"/>
  <c r="B17" i="19"/>
  <c r="U17" i="19"/>
  <c r="V17" i="19" s="1"/>
  <c r="W17" i="19" s="1"/>
  <c r="X17" i="19" s="1"/>
  <c r="H15" i="19"/>
  <c r="J15" i="19" s="1"/>
  <c r="G15" i="19"/>
  <c r="I15" i="19" s="1"/>
  <c r="L17" i="18"/>
  <c r="F18" i="18"/>
  <c r="C18" i="18"/>
  <c r="N18" i="18"/>
  <c r="T18" i="18"/>
  <c r="V18" i="18" s="1"/>
  <c r="W18" i="18" s="1"/>
  <c r="X18" i="18" s="1"/>
  <c r="V17" i="18"/>
  <c r="W17" i="18" s="1"/>
  <c r="X17" i="18" s="1"/>
  <c r="O17" i="18"/>
  <c r="P17" i="18" s="1"/>
  <c r="M18" i="18"/>
  <c r="B18" i="18"/>
  <c r="D17" i="18"/>
  <c r="U18" i="18"/>
  <c r="H16" i="18"/>
  <c r="R16" i="18" s="1"/>
  <c r="S16" i="18" s="1"/>
  <c r="G16" i="18"/>
  <c r="I16" i="18" s="1"/>
  <c r="T18" i="17"/>
  <c r="N18" i="17"/>
  <c r="C18" i="17"/>
  <c r="V17" i="17"/>
  <c r="W17" i="17" s="1"/>
  <c r="X17" i="17" s="1"/>
  <c r="H16" i="17"/>
  <c r="J16" i="17" s="1"/>
  <c r="R16" i="17" s="1"/>
  <c r="S16" i="17" s="1"/>
  <c r="G16" i="17"/>
  <c r="I16" i="17" s="1"/>
  <c r="F19" i="17"/>
  <c r="U18" i="17"/>
  <c r="M18" i="17"/>
  <c r="O18" i="17" s="1"/>
  <c r="P18" i="17" s="1"/>
  <c r="D17" i="17"/>
  <c r="B18" i="17"/>
  <c r="H17" i="22" l="1"/>
  <c r="J17" i="22" s="1"/>
  <c r="R17" i="22" s="1"/>
  <c r="S17" i="22" s="1"/>
  <c r="G17" i="22"/>
  <c r="I17" i="22" s="1"/>
  <c r="F19" i="22"/>
  <c r="L18" i="22"/>
  <c r="D18" i="22"/>
  <c r="M19" i="22"/>
  <c r="B19" i="22"/>
  <c r="U19" i="22"/>
  <c r="T19" i="22"/>
  <c r="V19" i="22" s="1"/>
  <c r="W19" i="22" s="1"/>
  <c r="X19" i="22" s="1"/>
  <c r="C19" i="22"/>
  <c r="N19" i="22"/>
  <c r="V18" i="22"/>
  <c r="W18" i="22" s="1"/>
  <c r="X18" i="22" s="1"/>
  <c r="R17" i="21"/>
  <c r="S17" i="21" s="1"/>
  <c r="H18" i="21"/>
  <c r="J18" i="21" s="1"/>
  <c r="G18" i="21"/>
  <c r="N21" i="21"/>
  <c r="C21" i="21"/>
  <c r="T21" i="21"/>
  <c r="L18" i="21"/>
  <c r="M20" i="21"/>
  <c r="O20" i="21" s="1"/>
  <c r="U20" i="21"/>
  <c r="V20" i="21" s="1"/>
  <c r="D19" i="21"/>
  <c r="B20" i="21"/>
  <c r="P18" i="21"/>
  <c r="W18" i="21"/>
  <c r="X18" i="21" s="1"/>
  <c r="B21" i="20"/>
  <c r="M21" i="20"/>
  <c r="U21" i="20"/>
  <c r="D20" i="20"/>
  <c r="R18" i="20"/>
  <c r="S18" i="20" s="1"/>
  <c r="N21" i="20"/>
  <c r="T21" i="20"/>
  <c r="V21" i="20" s="1"/>
  <c r="C21" i="20"/>
  <c r="G19" i="20"/>
  <c r="H19" i="20"/>
  <c r="J19" i="20" s="1"/>
  <c r="V20" i="20"/>
  <c r="L19" i="20"/>
  <c r="R19" i="20" s="1"/>
  <c r="S19" i="20" s="1"/>
  <c r="P20" i="20"/>
  <c r="R15" i="19"/>
  <c r="S15" i="19" s="1"/>
  <c r="B18" i="19"/>
  <c r="M18" i="19"/>
  <c r="O18" i="19" s="1"/>
  <c r="P18" i="19" s="1"/>
  <c r="U18" i="19"/>
  <c r="D17" i="19"/>
  <c r="T19" i="19"/>
  <c r="C19" i="19"/>
  <c r="N19" i="19"/>
  <c r="V18" i="19"/>
  <c r="W18" i="19" s="1"/>
  <c r="X18" i="19" s="1"/>
  <c r="G16" i="19"/>
  <c r="I16" i="19" s="1"/>
  <c r="H16" i="19"/>
  <c r="J16" i="19" s="1"/>
  <c r="R16" i="19" s="1"/>
  <c r="S16" i="19" s="1"/>
  <c r="L18" i="19"/>
  <c r="F19" i="19"/>
  <c r="H17" i="18"/>
  <c r="G17" i="18"/>
  <c r="I17" i="18" s="1"/>
  <c r="B19" i="18"/>
  <c r="M19" i="18"/>
  <c r="U19" i="18"/>
  <c r="D18" i="18"/>
  <c r="O18" i="18"/>
  <c r="P18" i="18" s="1"/>
  <c r="R17" i="18"/>
  <c r="S17" i="18" s="1"/>
  <c r="N19" i="18"/>
  <c r="T19" i="18"/>
  <c r="V19" i="18" s="1"/>
  <c r="W19" i="18" s="1"/>
  <c r="X19" i="18" s="1"/>
  <c r="C19" i="18"/>
  <c r="L18" i="18"/>
  <c r="F19" i="18"/>
  <c r="U19" i="17"/>
  <c r="B19" i="17"/>
  <c r="M19" i="17"/>
  <c r="D18" i="17"/>
  <c r="H17" i="17"/>
  <c r="J17" i="17" s="1"/>
  <c r="R17" i="17" s="1"/>
  <c r="S17" i="17" s="1"/>
  <c r="G17" i="17"/>
  <c r="I17" i="17" s="1"/>
  <c r="T19" i="17"/>
  <c r="V19" i="17" s="1"/>
  <c r="W19" i="17" s="1"/>
  <c r="X19" i="17" s="1"/>
  <c r="N19" i="17"/>
  <c r="C19" i="17"/>
  <c r="F20" i="17"/>
  <c r="V18" i="17"/>
  <c r="W18" i="17" s="1"/>
  <c r="X18" i="17" s="1"/>
  <c r="N20" i="22" l="1"/>
  <c r="T20" i="22"/>
  <c r="C20" i="22"/>
  <c r="G18" i="22"/>
  <c r="I18" i="22" s="1"/>
  <c r="H18" i="22"/>
  <c r="J18" i="22" s="1"/>
  <c r="R18" i="22" s="1"/>
  <c r="S18" i="22" s="1"/>
  <c r="O19" i="22"/>
  <c r="P19" i="22" s="1"/>
  <c r="L19" i="22"/>
  <c r="F20" i="22"/>
  <c r="M20" i="22"/>
  <c r="O20" i="22" s="1"/>
  <c r="P20" i="22" s="1"/>
  <c r="U20" i="22"/>
  <c r="D19" i="22"/>
  <c r="B20" i="22"/>
  <c r="C22" i="21"/>
  <c r="T22" i="21"/>
  <c r="N22" i="21"/>
  <c r="L19" i="21"/>
  <c r="R18" i="21"/>
  <c r="S18" i="21" s="1"/>
  <c r="B21" i="21"/>
  <c r="U21" i="21"/>
  <c r="V21" i="21" s="1"/>
  <c r="D20" i="21"/>
  <c r="M21" i="21"/>
  <c r="O21" i="21" s="1"/>
  <c r="P19" i="21"/>
  <c r="H19" i="21"/>
  <c r="J19" i="21" s="1"/>
  <c r="G19" i="21"/>
  <c r="W19" i="21"/>
  <c r="X19" i="21" s="1"/>
  <c r="C22" i="20"/>
  <c r="N22" i="20"/>
  <c r="T22" i="20"/>
  <c r="H20" i="20"/>
  <c r="J20" i="20" s="1"/>
  <c r="G20" i="20"/>
  <c r="L20" i="20"/>
  <c r="R20" i="20" s="1"/>
  <c r="S20" i="20" s="1"/>
  <c r="W21" i="20"/>
  <c r="X21" i="20" s="1"/>
  <c r="O21" i="20"/>
  <c r="P21" i="20" s="1"/>
  <c r="W20" i="20"/>
  <c r="X20" i="20" s="1"/>
  <c r="B22" i="20"/>
  <c r="M22" i="20"/>
  <c r="U22" i="20"/>
  <c r="D21" i="20"/>
  <c r="T20" i="19"/>
  <c r="C20" i="19"/>
  <c r="N20" i="19"/>
  <c r="H17" i="19"/>
  <c r="J17" i="19" s="1"/>
  <c r="G17" i="19"/>
  <c r="I17" i="19" s="1"/>
  <c r="L19" i="19"/>
  <c r="F20" i="19"/>
  <c r="B19" i="19"/>
  <c r="M19" i="19"/>
  <c r="O19" i="19" s="1"/>
  <c r="P19" i="19" s="1"/>
  <c r="U19" i="19"/>
  <c r="V19" i="19" s="1"/>
  <c r="W19" i="19" s="1"/>
  <c r="X19" i="19" s="1"/>
  <c r="D18" i="19"/>
  <c r="C20" i="18"/>
  <c r="N20" i="18"/>
  <c r="T20" i="18"/>
  <c r="H18" i="18"/>
  <c r="R18" i="18" s="1"/>
  <c r="S18" i="18" s="1"/>
  <c r="G18" i="18"/>
  <c r="I18" i="18" s="1"/>
  <c r="O19" i="18"/>
  <c r="P19" i="18" s="1"/>
  <c r="M20" i="18"/>
  <c r="O20" i="18" s="1"/>
  <c r="P20" i="18" s="1"/>
  <c r="B20" i="18"/>
  <c r="D19" i="18"/>
  <c r="U20" i="18"/>
  <c r="L19" i="18"/>
  <c r="F20" i="18"/>
  <c r="F21" i="17"/>
  <c r="H18" i="17"/>
  <c r="J18" i="17" s="1"/>
  <c r="G18" i="17"/>
  <c r="I18" i="17" s="1"/>
  <c r="O19" i="17"/>
  <c r="P19" i="17" s="1"/>
  <c r="T20" i="17"/>
  <c r="C20" i="17"/>
  <c r="N20" i="17"/>
  <c r="M20" i="17"/>
  <c r="O20" i="17" s="1"/>
  <c r="P20" i="17" s="1"/>
  <c r="U20" i="17"/>
  <c r="D19" i="17"/>
  <c r="B20" i="17"/>
  <c r="H19" i="22" l="1"/>
  <c r="J19" i="22" s="1"/>
  <c r="G19" i="22"/>
  <c r="I19" i="22" s="1"/>
  <c r="L20" i="22"/>
  <c r="F21" i="22"/>
  <c r="N21" i="22"/>
  <c r="T21" i="22"/>
  <c r="C21" i="22"/>
  <c r="V20" i="22"/>
  <c r="W20" i="22" s="1"/>
  <c r="X20" i="22" s="1"/>
  <c r="B21" i="22"/>
  <c r="M21" i="22"/>
  <c r="O21" i="22" s="1"/>
  <c r="P21" i="22" s="1"/>
  <c r="D20" i="22"/>
  <c r="U21" i="22"/>
  <c r="L20" i="21"/>
  <c r="P20" i="21"/>
  <c r="H20" i="21"/>
  <c r="J20" i="21" s="1"/>
  <c r="G20" i="21"/>
  <c r="B22" i="21"/>
  <c r="D21" i="21"/>
  <c r="U22" i="21"/>
  <c r="V22" i="21" s="1"/>
  <c r="M22" i="21"/>
  <c r="O22" i="21" s="1"/>
  <c r="C23" i="21"/>
  <c r="T23" i="21"/>
  <c r="N23" i="21"/>
  <c r="R19" i="21"/>
  <c r="S19" i="21" s="1"/>
  <c r="P21" i="21"/>
  <c r="W20" i="21"/>
  <c r="X20" i="21" s="1"/>
  <c r="L21" i="20"/>
  <c r="V22" i="20"/>
  <c r="W22" i="20" s="1"/>
  <c r="X22" i="20" s="1"/>
  <c r="B23" i="20"/>
  <c r="M23" i="20"/>
  <c r="U23" i="20"/>
  <c r="D22" i="20"/>
  <c r="H21" i="20"/>
  <c r="J21" i="20" s="1"/>
  <c r="G21" i="20"/>
  <c r="C23" i="20"/>
  <c r="N23" i="20"/>
  <c r="T23" i="20"/>
  <c r="V23" i="20" s="1"/>
  <c r="O22" i="20"/>
  <c r="P22" i="20" s="1"/>
  <c r="R17" i="19"/>
  <c r="S17" i="19" s="1"/>
  <c r="F21" i="19"/>
  <c r="L20" i="19"/>
  <c r="M20" i="19"/>
  <c r="O20" i="19" s="1"/>
  <c r="P20" i="19" s="1"/>
  <c r="U20" i="19"/>
  <c r="V20" i="19" s="1"/>
  <c r="W20" i="19" s="1"/>
  <c r="X20" i="19" s="1"/>
  <c r="B20" i="19"/>
  <c r="D19" i="19"/>
  <c r="N21" i="19"/>
  <c r="C21" i="19"/>
  <c r="T21" i="19"/>
  <c r="G18" i="19"/>
  <c r="I18" i="19" s="1"/>
  <c r="H18" i="19"/>
  <c r="J18" i="19" s="1"/>
  <c r="H19" i="18"/>
  <c r="G19" i="18"/>
  <c r="I19" i="18" s="1"/>
  <c r="B21" i="18"/>
  <c r="D20" i="18"/>
  <c r="U21" i="18"/>
  <c r="M21" i="18"/>
  <c r="O21" i="18" s="1"/>
  <c r="P21" i="18" s="1"/>
  <c r="R19" i="18"/>
  <c r="S19" i="18" s="1"/>
  <c r="V20" i="18"/>
  <c r="W20" i="18" s="1"/>
  <c r="X20" i="18" s="1"/>
  <c r="L20" i="18"/>
  <c r="F21" i="18"/>
  <c r="N21" i="18"/>
  <c r="C21" i="18"/>
  <c r="T21" i="18"/>
  <c r="B21" i="17"/>
  <c r="M21" i="17"/>
  <c r="U21" i="17"/>
  <c r="D20" i="17"/>
  <c r="V20" i="17"/>
  <c r="W20" i="17" s="1"/>
  <c r="X20" i="17" s="1"/>
  <c r="R18" i="17"/>
  <c r="S18" i="17" s="1"/>
  <c r="F22" i="17"/>
  <c r="H19" i="17"/>
  <c r="J19" i="17" s="1"/>
  <c r="R19" i="17" s="1"/>
  <c r="S19" i="17" s="1"/>
  <c r="G19" i="17"/>
  <c r="I19" i="17" s="1"/>
  <c r="N21" i="17"/>
  <c r="T21" i="17"/>
  <c r="V21" i="17" s="1"/>
  <c r="W21" i="17" s="1"/>
  <c r="X21" i="17" s="1"/>
  <c r="C21" i="17"/>
  <c r="R19" i="22" l="1"/>
  <c r="S19" i="22" s="1"/>
  <c r="V21" i="22"/>
  <c r="W21" i="22" s="1"/>
  <c r="X21" i="22" s="1"/>
  <c r="L21" i="22"/>
  <c r="F22" i="22"/>
  <c r="B22" i="22"/>
  <c r="M22" i="22"/>
  <c r="U22" i="22"/>
  <c r="D21" i="22"/>
  <c r="C22" i="22"/>
  <c r="N22" i="22"/>
  <c r="T22" i="22"/>
  <c r="V22" i="22" s="1"/>
  <c r="W22" i="22" s="1"/>
  <c r="X22" i="22" s="1"/>
  <c r="G20" i="22"/>
  <c r="I20" i="22" s="1"/>
  <c r="H20" i="22"/>
  <c r="J20" i="22" s="1"/>
  <c r="M23" i="21"/>
  <c r="O23" i="21" s="1"/>
  <c r="U23" i="21"/>
  <c r="V23" i="21" s="1"/>
  <c r="D22" i="21"/>
  <c r="B23" i="21"/>
  <c r="G21" i="21"/>
  <c r="H21" i="21"/>
  <c r="J21" i="21" s="1"/>
  <c r="R20" i="21"/>
  <c r="S20" i="21" s="1"/>
  <c r="P22" i="21"/>
  <c r="L21" i="21"/>
  <c r="R21" i="21" s="1"/>
  <c r="S21" i="21" s="1"/>
  <c r="N24" i="21"/>
  <c r="T24" i="21"/>
  <c r="C24" i="21"/>
  <c r="W21" i="21"/>
  <c r="X21" i="21" s="1"/>
  <c r="R21" i="20"/>
  <c r="S21" i="20" s="1"/>
  <c r="H22" i="20"/>
  <c r="J22" i="20" s="1"/>
  <c r="G22" i="20"/>
  <c r="O23" i="20"/>
  <c r="D23" i="20"/>
  <c r="B24" i="20"/>
  <c r="U24" i="20"/>
  <c r="M24" i="20"/>
  <c r="C24" i="20"/>
  <c r="N24" i="20"/>
  <c r="T24" i="20"/>
  <c r="V24" i="20" s="1"/>
  <c r="W23" i="20"/>
  <c r="X23" i="20" s="1"/>
  <c r="L22" i="20"/>
  <c r="R18" i="19"/>
  <c r="S18" i="19" s="1"/>
  <c r="H19" i="19"/>
  <c r="J19" i="19" s="1"/>
  <c r="G19" i="19"/>
  <c r="I19" i="19" s="1"/>
  <c r="B21" i="19"/>
  <c r="U21" i="19"/>
  <c r="V21" i="19" s="1"/>
  <c r="W21" i="19" s="1"/>
  <c r="X21" i="19" s="1"/>
  <c r="D20" i="19"/>
  <c r="M21" i="19"/>
  <c r="O21" i="19" s="1"/>
  <c r="P21" i="19" s="1"/>
  <c r="C22" i="19"/>
  <c r="N22" i="19"/>
  <c r="T22" i="19"/>
  <c r="F22" i="19"/>
  <c r="L21" i="19"/>
  <c r="F22" i="18"/>
  <c r="L21" i="18"/>
  <c r="H20" i="18"/>
  <c r="R20" i="18" s="1"/>
  <c r="S20" i="18" s="1"/>
  <c r="G20" i="18"/>
  <c r="I20" i="18" s="1"/>
  <c r="D21" i="18"/>
  <c r="B22" i="18"/>
  <c r="U22" i="18"/>
  <c r="M22" i="18"/>
  <c r="O22" i="18" s="1"/>
  <c r="P22" i="18" s="1"/>
  <c r="V21" i="18"/>
  <c r="W21" i="18" s="1"/>
  <c r="X21" i="18" s="1"/>
  <c r="C22" i="18"/>
  <c r="T22" i="18"/>
  <c r="N22" i="18"/>
  <c r="F23" i="17"/>
  <c r="H20" i="17"/>
  <c r="J20" i="17" s="1"/>
  <c r="R20" i="17" s="1"/>
  <c r="S20" i="17" s="1"/>
  <c r="G20" i="17"/>
  <c r="I20" i="17" s="1"/>
  <c r="C22" i="17"/>
  <c r="N22" i="17"/>
  <c r="T22" i="17"/>
  <c r="O21" i="17"/>
  <c r="P21" i="17" s="1"/>
  <c r="B22" i="17"/>
  <c r="M22" i="17"/>
  <c r="O22" i="17" s="1"/>
  <c r="P22" i="17" s="1"/>
  <c r="U22" i="17"/>
  <c r="D21" i="17"/>
  <c r="H21" i="22" l="1"/>
  <c r="J21" i="22" s="1"/>
  <c r="G21" i="22"/>
  <c r="I21" i="22" s="1"/>
  <c r="C23" i="22"/>
  <c r="N23" i="22"/>
  <c r="T23" i="22"/>
  <c r="O22" i="22"/>
  <c r="P22" i="22" s="1"/>
  <c r="B23" i="22"/>
  <c r="U23" i="22"/>
  <c r="M23" i="22"/>
  <c r="O23" i="22" s="1"/>
  <c r="D22" i="22"/>
  <c r="L22" i="22"/>
  <c r="F23" i="22"/>
  <c r="R20" i="22"/>
  <c r="S20" i="22" s="1"/>
  <c r="D23" i="21"/>
  <c r="B24" i="21"/>
  <c r="M24" i="21"/>
  <c r="O24" i="21" s="1"/>
  <c r="U24" i="21"/>
  <c r="H22" i="21"/>
  <c r="J22" i="21" s="1"/>
  <c r="G22" i="21"/>
  <c r="L22" i="21"/>
  <c r="R22" i="21" s="1"/>
  <c r="S22" i="21" s="1"/>
  <c r="V24" i="21"/>
  <c r="P23" i="21"/>
  <c r="C25" i="21"/>
  <c r="N25" i="21"/>
  <c r="T25" i="21"/>
  <c r="W22" i="21"/>
  <c r="X22" i="21" s="1"/>
  <c r="R22" i="20"/>
  <c r="S22" i="20" s="1"/>
  <c r="C25" i="20"/>
  <c r="T25" i="20"/>
  <c r="N25" i="20"/>
  <c r="O24" i="20"/>
  <c r="D24" i="20"/>
  <c r="M25" i="20"/>
  <c r="O25" i="20" s="1"/>
  <c r="B25" i="20"/>
  <c r="U25" i="20"/>
  <c r="H23" i="20"/>
  <c r="J23" i="20" s="1"/>
  <c r="G23" i="20"/>
  <c r="P23" i="20"/>
  <c r="W24" i="20"/>
  <c r="X24" i="20" s="1"/>
  <c r="L23" i="20"/>
  <c r="R19" i="19"/>
  <c r="S19" i="19" s="1"/>
  <c r="N23" i="19"/>
  <c r="T23" i="19"/>
  <c r="C23" i="19"/>
  <c r="H20" i="19"/>
  <c r="J20" i="19" s="1"/>
  <c r="G20" i="19"/>
  <c r="I20" i="19" s="1"/>
  <c r="D21" i="19"/>
  <c r="U22" i="19"/>
  <c r="V22" i="19" s="1"/>
  <c r="W22" i="19" s="1"/>
  <c r="X22" i="19" s="1"/>
  <c r="M22" i="19"/>
  <c r="O22" i="19" s="1"/>
  <c r="P22" i="19" s="1"/>
  <c r="B22" i="19"/>
  <c r="F23" i="19"/>
  <c r="L22" i="19"/>
  <c r="C23" i="18"/>
  <c r="T23" i="18"/>
  <c r="N23" i="18"/>
  <c r="M23" i="18"/>
  <c r="O23" i="18" s="1"/>
  <c r="P23" i="18" s="1"/>
  <c r="U23" i="18"/>
  <c r="D22" i="18"/>
  <c r="B23" i="18"/>
  <c r="H21" i="18"/>
  <c r="R21" i="18" s="1"/>
  <c r="S21" i="18" s="1"/>
  <c r="G21" i="18"/>
  <c r="I21" i="18" s="1"/>
  <c r="L22" i="18"/>
  <c r="F23" i="18"/>
  <c r="V22" i="18"/>
  <c r="W22" i="18" s="1"/>
  <c r="X22" i="18" s="1"/>
  <c r="H21" i="17"/>
  <c r="J21" i="17" s="1"/>
  <c r="R21" i="17" s="1"/>
  <c r="S21" i="17" s="1"/>
  <c r="G21" i="17"/>
  <c r="I21" i="17" s="1"/>
  <c r="V22" i="17"/>
  <c r="W22" i="17" s="1"/>
  <c r="X22" i="17" s="1"/>
  <c r="B23" i="17"/>
  <c r="M23" i="17"/>
  <c r="O23" i="17" s="1"/>
  <c r="P23" i="17" s="1"/>
  <c r="U23" i="17"/>
  <c r="D22" i="17"/>
  <c r="C23" i="17"/>
  <c r="N23" i="17"/>
  <c r="T23" i="17"/>
  <c r="V23" i="17" s="1"/>
  <c r="W23" i="17" s="1"/>
  <c r="X23" i="17" s="1"/>
  <c r="F24" i="17"/>
  <c r="P23" i="22" l="1"/>
  <c r="R21" i="22"/>
  <c r="S21" i="22" s="1"/>
  <c r="V23" i="22"/>
  <c r="W23" i="22" s="1"/>
  <c r="X23" i="22" s="1"/>
  <c r="C24" i="22"/>
  <c r="T24" i="22"/>
  <c r="N24" i="22"/>
  <c r="D23" i="22"/>
  <c r="M24" i="22"/>
  <c r="O24" i="22" s="1"/>
  <c r="P24" i="22" s="1"/>
  <c r="B24" i="22"/>
  <c r="U24" i="22"/>
  <c r="H22" i="22"/>
  <c r="J22" i="22" s="1"/>
  <c r="R22" i="22" s="1"/>
  <c r="S22" i="22" s="1"/>
  <c r="G22" i="22"/>
  <c r="I22" i="22" s="1"/>
  <c r="L23" i="22"/>
  <c r="F24" i="22"/>
  <c r="L23" i="21"/>
  <c r="P24" i="21"/>
  <c r="B25" i="21"/>
  <c r="M25" i="21"/>
  <c r="O25" i="21" s="1"/>
  <c r="U25" i="21"/>
  <c r="D24" i="21"/>
  <c r="V25" i="21"/>
  <c r="G23" i="21"/>
  <c r="H23" i="21"/>
  <c r="J23" i="21" s="1"/>
  <c r="W23" i="21"/>
  <c r="X23" i="21" s="1"/>
  <c r="C26" i="21"/>
  <c r="N26" i="21"/>
  <c r="T26" i="21"/>
  <c r="D25" i="20"/>
  <c r="B26" i="20"/>
  <c r="M26" i="20"/>
  <c r="U26" i="20"/>
  <c r="N26" i="20"/>
  <c r="T26" i="20"/>
  <c r="V26" i="20" s="1"/>
  <c r="C26" i="20"/>
  <c r="G24" i="20"/>
  <c r="H24" i="20"/>
  <c r="J24" i="20" s="1"/>
  <c r="L24" i="20"/>
  <c r="P24" i="20"/>
  <c r="R23" i="20"/>
  <c r="S23" i="20" s="1"/>
  <c r="V25" i="20"/>
  <c r="R20" i="19"/>
  <c r="S20" i="19" s="1"/>
  <c r="H21" i="19"/>
  <c r="J21" i="19" s="1"/>
  <c r="G21" i="19"/>
  <c r="I21" i="19" s="1"/>
  <c r="M23" i="19"/>
  <c r="O23" i="19" s="1"/>
  <c r="P23" i="19" s="1"/>
  <c r="D22" i="19"/>
  <c r="B23" i="19"/>
  <c r="U23" i="19"/>
  <c r="V23" i="19" s="1"/>
  <c r="W23" i="19" s="1"/>
  <c r="X23" i="19" s="1"/>
  <c r="T24" i="19"/>
  <c r="C24" i="19"/>
  <c r="N24" i="19"/>
  <c r="L23" i="19"/>
  <c r="F24" i="19"/>
  <c r="D23" i="18"/>
  <c r="B24" i="18"/>
  <c r="M24" i="18"/>
  <c r="U24" i="18"/>
  <c r="H22" i="18"/>
  <c r="G22" i="18"/>
  <c r="I22" i="18" s="1"/>
  <c r="V23" i="18"/>
  <c r="W23" i="18" s="1"/>
  <c r="X23" i="18" s="1"/>
  <c r="N24" i="18"/>
  <c r="T24" i="18"/>
  <c r="C24" i="18"/>
  <c r="F24" i="18"/>
  <c r="L23" i="18"/>
  <c r="F25" i="17"/>
  <c r="D23" i="17"/>
  <c r="B24" i="17"/>
  <c r="M24" i="17"/>
  <c r="U24" i="17"/>
  <c r="C24" i="17"/>
  <c r="N24" i="17"/>
  <c r="T24" i="17"/>
  <c r="V24" i="17" s="1"/>
  <c r="W24" i="17" s="1"/>
  <c r="X24" i="17" s="1"/>
  <c r="H22" i="17"/>
  <c r="J22" i="17" s="1"/>
  <c r="R22" i="17" s="1"/>
  <c r="S22" i="17" s="1"/>
  <c r="G22" i="17"/>
  <c r="I22" i="17" s="1"/>
  <c r="G23" i="22" l="1"/>
  <c r="I23" i="22" s="1"/>
  <c r="H23" i="22"/>
  <c r="J23" i="22" s="1"/>
  <c r="R23" i="22" s="1"/>
  <c r="S23" i="22" s="1"/>
  <c r="D24" i="22"/>
  <c r="B25" i="22"/>
  <c r="U25" i="22"/>
  <c r="M25" i="22"/>
  <c r="O25" i="22" s="1"/>
  <c r="V24" i="22"/>
  <c r="W24" i="22" s="1"/>
  <c r="X24" i="22" s="1"/>
  <c r="N25" i="22"/>
  <c r="C25" i="22"/>
  <c r="T25" i="22"/>
  <c r="V25" i="22" s="1"/>
  <c r="F25" i="22"/>
  <c r="L24" i="22"/>
  <c r="R23" i="21"/>
  <c r="S23" i="21" s="1"/>
  <c r="H24" i="21"/>
  <c r="J24" i="21" s="1"/>
  <c r="G24" i="21"/>
  <c r="B26" i="21"/>
  <c r="D25" i="21"/>
  <c r="U26" i="21"/>
  <c r="V26" i="21" s="1"/>
  <c r="M26" i="21"/>
  <c r="O26" i="21" s="1"/>
  <c r="R24" i="21"/>
  <c r="S24" i="21" s="1"/>
  <c r="T27" i="21"/>
  <c r="C27" i="21"/>
  <c r="N27" i="21"/>
  <c r="P25" i="21"/>
  <c r="L24" i="21"/>
  <c r="W24" i="21"/>
  <c r="X24" i="21" s="1"/>
  <c r="L25" i="20"/>
  <c r="W26" i="20"/>
  <c r="X26" i="20" s="1"/>
  <c r="P25" i="20"/>
  <c r="T27" i="20"/>
  <c r="C27" i="20"/>
  <c r="N27" i="20"/>
  <c r="O26" i="20"/>
  <c r="P26" i="20" s="1"/>
  <c r="D26" i="20"/>
  <c r="B27" i="20"/>
  <c r="M27" i="20"/>
  <c r="O27" i="20" s="1"/>
  <c r="U27" i="20"/>
  <c r="W25" i="20"/>
  <c r="X25" i="20" s="1"/>
  <c r="R24" i="20"/>
  <c r="S24" i="20" s="1"/>
  <c r="H25" i="20"/>
  <c r="J25" i="20" s="1"/>
  <c r="G25" i="20"/>
  <c r="N25" i="19"/>
  <c r="T25" i="19"/>
  <c r="C25" i="19"/>
  <c r="D23" i="19"/>
  <c r="M24" i="19"/>
  <c r="O24" i="19" s="1"/>
  <c r="P24" i="19" s="1"/>
  <c r="U24" i="19"/>
  <c r="V24" i="19" s="1"/>
  <c r="W24" i="19" s="1"/>
  <c r="X24" i="19" s="1"/>
  <c r="B24" i="19"/>
  <c r="H22" i="19"/>
  <c r="J22" i="19" s="1"/>
  <c r="G22" i="19"/>
  <c r="I22" i="19" s="1"/>
  <c r="F25" i="19"/>
  <c r="L24" i="19"/>
  <c r="R21" i="19"/>
  <c r="S21" i="19" s="1"/>
  <c r="R22" i="18"/>
  <c r="S22" i="18" s="1"/>
  <c r="C25" i="18"/>
  <c r="T25" i="18"/>
  <c r="V25" i="18" s="1"/>
  <c r="W25" i="18" s="1"/>
  <c r="X25" i="18" s="1"/>
  <c r="N25" i="18"/>
  <c r="V24" i="18"/>
  <c r="W24" i="18" s="1"/>
  <c r="X24" i="18" s="1"/>
  <c r="O24" i="18"/>
  <c r="P24" i="18" s="1"/>
  <c r="M25" i="18"/>
  <c r="O25" i="18" s="1"/>
  <c r="B25" i="18"/>
  <c r="U25" i="18"/>
  <c r="D24" i="18"/>
  <c r="H23" i="18"/>
  <c r="G23" i="18"/>
  <c r="I23" i="18" s="1"/>
  <c r="F25" i="18"/>
  <c r="L24" i="18"/>
  <c r="C25" i="17"/>
  <c r="N25" i="17"/>
  <c r="T25" i="17"/>
  <c r="D24" i="17"/>
  <c r="B25" i="17"/>
  <c r="M25" i="17"/>
  <c r="O25" i="17" s="1"/>
  <c r="P25" i="17" s="1"/>
  <c r="U25" i="17"/>
  <c r="O24" i="17"/>
  <c r="P24" i="17" s="1"/>
  <c r="H23" i="17"/>
  <c r="J23" i="17" s="1"/>
  <c r="R23" i="17" s="1"/>
  <c r="S23" i="17" s="1"/>
  <c r="G23" i="17"/>
  <c r="I23" i="17" s="1"/>
  <c r="F26" i="17"/>
  <c r="W25" i="22" l="1"/>
  <c r="X25" i="22" s="1"/>
  <c r="P25" i="22"/>
  <c r="D25" i="22"/>
  <c r="M26" i="22"/>
  <c r="B26" i="22"/>
  <c r="U26" i="22"/>
  <c r="H24" i="22"/>
  <c r="J24" i="22" s="1"/>
  <c r="G24" i="22"/>
  <c r="I24" i="22" s="1"/>
  <c r="C26" i="22"/>
  <c r="T26" i="22"/>
  <c r="V26" i="22" s="1"/>
  <c r="N26" i="22"/>
  <c r="F26" i="22"/>
  <c r="L25" i="22"/>
  <c r="T28" i="21"/>
  <c r="N28" i="21"/>
  <c r="C28" i="21"/>
  <c r="H25" i="21"/>
  <c r="J25" i="21" s="1"/>
  <c r="G25" i="21"/>
  <c r="D26" i="21"/>
  <c r="M27" i="21"/>
  <c r="O27" i="21" s="1"/>
  <c r="B27" i="21"/>
  <c r="U27" i="21"/>
  <c r="V27" i="21" s="1"/>
  <c r="P26" i="21"/>
  <c r="L25" i="21"/>
  <c r="W25" i="21"/>
  <c r="X25" i="21" s="1"/>
  <c r="G26" i="20"/>
  <c r="H26" i="20"/>
  <c r="J26" i="20" s="1"/>
  <c r="T28" i="20"/>
  <c r="C28" i="20"/>
  <c r="N28" i="20"/>
  <c r="V27" i="20"/>
  <c r="R25" i="20"/>
  <c r="S25" i="20" s="1"/>
  <c r="U28" i="20"/>
  <c r="B28" i="20"/>
  <c r="M28" i="20"/>
  <c r="O28" i="20" s="1"/>
  <c r="D27" i="20"/>
  <c r="P27" i="20"/>
  <c r="L26" i="20"/>
  <c r="R22" i="19"/>
  <c r="S22" i="19" s="1"/>
  <c r="B25" i="19"/>
  <c r="M25" i="19"/>
  <c r="O25" i="19" s="1"/>
  <c r="P25" i="19" s="1"/>
  <c r="U25" i="19"/>
  <c r="V25" i="19" s="1"/>
  <c r="W25" i="19" s="1"/>
  <c r="X25" i="19" s="1"/>
  <c r="D24" i="19"/>
  <c r="G23" i="19"/>
  <c r="I23" i="19" s="1"/>
  <c r="H23" i="19"/>
  <c r="J23" i="19" s="1"/>
  <c r="L25" i="19"/>
  <c r="F26" i="19"/>
  <c r="C26" i="19"/>
  <c r="N26" i="19"/>
  <c r="T26" i="19"/>
  <c r="R23" i="18"/>
  <c r="S23" i="18" s="1"/>
  <c r="L25" i="18"/>
  <c r="F26" i="18"/>
  <c r="G24" i="18"/>
  <c r="I24" i="18" s="1"/>
  <c r="H24" i="18"/>
  <c r="U26" i="18"/>
  <c r="M26" i="18"/>
  <c r="O26" i="18" s="1"/>
  <c r="P26" i="18" s="1"/>
  <c r="B26" i="18"/>
  <c r="D25" i="18"/>
  <c r="R24" i="18"/>
  <c r="S24" i="18" s="1"/>
  <c r="P25" i="18"/>
  <c r="T26" i="18"/>
  <c r="N26" i="18"/>
  <c r="C26" i="18"/>
  <c r="D25" i="17"/>
  <c r="B26" i="17"/>
  <c r="M26" i="17"/>
  <c r="O26" i="17" s="1"/>
  <c r="P26" i="17" s="1"/>
  <c r="U26" i="17"/>
  <c r="G24" i="17"/>
  <c r="I24" i="17" s="1"/>
  <c r="H24" i="17"/>
  <c r="J24" i="17" s="1"/>
  <c r="F27" i="17"/>
  <c r="V25" i="17"/>
  <c r="W25" i="17" s="1"/>
  <c r="X25" i="17" s="1"/>
  <c r="R24" i="17"/>
  <c r="S24" i="17" s="1"/>
  <c r="C26" i="17"/>
  <c r="N26" i="17"/>
  <c r="T26" i="17"/>
  <c r="W26" i="22" l="1"/>
  <c r="X26" i="22" s="1"/>
  <c r="R24" i="22"/>
  <c r="S24" i="22" s="1"/>
  <c r="F27" i="22"/>
  <c r="L26" i="22"/>
  <c r="B27" i="22"/>
  <c r="M27" i="22"/>
  <c r="D26" i="22"/>
  <c r="U27" i="22"/>
  <c r="T27" i="22"/>
  <c r="V27" i="22" s="1"/>
  <c r="W27" i="22" s="1"/>
  <c r="X27" i="22" s="1"/>
  <c r="N27" i="22"/>
  <c r="C27" i="22"/>
  <c r="O26" i="22"/>
  <c r="P26" i="22" s="1"/>
  <c r="H25" i="22"/>
  <c r="J25" i="22" s="1"/>
  <c r="R25" i="22" s="1"/>
  <c r="S25" i="22" s="1"/>
  <c r="G25" i="22"/>
  <c r="I25" i="22" s="1"/>
  <c r="R25" i="21"/>
  <c r="S25" i="21" s="1"/>
  <c r="G26" i="21"/>
  <c r="H26" i="21"/>
  <c r="J26" i="21" s="1"/>
  <c r="T29" i="21"/>
  <c r="C29" i="21"/>
  <c r="N29" i="21"/>
  <c r="U28" i="21"/>
  <c r="V28" i="21" s="1"/>
  <c r="D27" i="21"/>
  <c r="B28" i="21"/>
  <c r="M28" i="21"/>
  <c r="O28" i="21" s="1"/>
  <c r="L26" i="21"/>
  <c r="R26" i="21" s="1"/>
  <c r="S26" i="21" s="1"/>
  <c r="P27" i="21"/>
  <c r="W26" i="21"/>
  <c r="X26" i="21" s="1"/>
  <c r="R26" i="20"/>
  <c r="S26" i="20" s="1"/>
  <c r="W27" i="20"/>
  <c r="X27" i="20" s="1"/>
  <c r="T29" i="20"/>
  <c r="C29" i="20"/>
  <c r="N29" i="20"/>
  <c r="V28" i="20"/>
  <c r="U29" i="20"/>
  <c r="D28" i="20"/>
  <c r="B29" i="20"/>
  <c r="M29" i="20"/>
  <c r="O29" i="20" s="1"/>
  <c r="L27" i="20"/>
  <c r="R27" i="20" s="1"/>
  <c r="S27" i="20" s="1"/>
  <c r="H27" i="20"/>
  <c r="J27" i="20" s="1"/>
  <c r="G27" i="20"/>
  <c r="R23" i="19"/>
  <c r="S23" i="19" s="1"/>
  <c r="H24" i="19"/>
  <c r="J24" i="19" s="1"/>
  <c r="G24" i="19"/>
  <c r="I24" i="19" s="1"/>
  <c r="F27" i="19"/>
  <c r="L26" i="19"/>
  <c r="T27" i="19"/>
  <c r="C27" i="19"/>
  <c r="N27" i="19"/>
  <c r="B26" i="19"/>
  <c r="U26" i="19"/>
  <c r="V26" i="19" s="1"/>
  <c r="W26" i="19" s="1"/>
  <c r="X26" i="19" s="1"/>
  <c r="D25" i="19"/>
  <c r="M26" i="19"/>
  <c r="O26" i="19" s="1"/>
  <c r="P26" i="19" s="1"/>
  <c r="V26" i="18"/>
  <c r="W26" i="18" s="1"/>
  <c r="X26" i="18" s="1"/>
  <c r="H25" i="18"/>
  <c r="G25" i="18"/>
  <c r="I25" i="18" s="1"/>
  <c r="D26" i="18"/>
  <c r="M27" i="18"/>
  <c r="O27" i="18" s="1"/>
  <c r="P27" i="18" s="1"/>
  <c r="U27" i="18"/>
  <c r="B27" i="18"/>
  <c r="L26" i="18"/>
  <c r="F27" i="18"/>
  <c r="T27" i="18"/>
  <c r="C27" i="18"/>
  <c r="N27" i="18"/>
  <c r="D26" i="17"/>
  <c r="B27" i="17"/>
  <c r="M27" i="17"/>
  <c r="U27" i="17"/>
  <c r="T27" i="17"/>
  <c r="V27" i="17" s="1"/>
  <c r="W27" i="17" s="1"/>
  <c r="X27" i="17" s="1"/>
  <c r="C27" i="17"/>
  <c r="N27" i="17"/>
  <c r="F28" i="17"/>
  <c r="V26" i="17"/>
  <c r="W26" i="17" s="1"/>
  <c r="X26" i="17" s="1"/>
  <c r="H25" i="17"/>
  <c r="J25" i="17" s="1"/>
  <c r="G25" i="17"/>
  <c r="I25" i="17" s="1"/>
  <c r="G26" i="22" l="1"/>
  <c r="I26" i="22" s="1"/>
  <c r="H26" i="22"/>
  <c r="J26" i="22" s="1"/>
  <c r="R26" i="22" s="1"/>
  <c r="S26" i="22" s="1"/>
  <c r="O27" i="22"/>
  <c r="P27" i="22" s="1"/>
  <c r="U28" i="22"/>
  <c r="D27" i="22"/>
  <c r="B28" i="22"/>
  <c r="M28" i="22"/>
  <c r="T28" i="22"/>
  <c r="V28" i="22" s="1"/>
  <c r="C28" i="22"/>
  <c r="N28" i="22"/>
  <c r="L27" i="22"/>
  <c r="F28" i="22"/>
  <c r="U29" i="21"/>
  <c r="D28" i="21"/>
  <c r="B29" i="21"/>
  <c r="M29" i="21"/>
  <c r="O29" i="21" s="1"/>
  <c r="T30" i="21"/>
  <c r="C30" i="21"/>
  <c r="N30" i="21"/>
  <c r="V29" i="21"/>
  <c r="H27" i="21"/>
  <c r="J27" i="21" s="1"/>
  <c r="G27" i="21"/>
  <c r="W28" i="21"/>
  <c r="X28" i="21" s="1"/>
  <c r="L27" i="21"/>
  <c r="W27" i="21"/>
  <c r="X27" i="21" s="1"/>
  <c r="U30" i="20"/>
  <c r="D29" i="20"/>
  <c r="M30" i="20"/>
  <c r="O30" i="20" s="1"/>
  <c r="B30" i="20"/>
  <c r="H28" i="20"/>
  <c r="J28" i="20" s="1"/>
  <c r="G28" i="20"/>
  <c r="L28" i="20"/>
  <c r="W28" i="20"/>
  <c r="X28" i="20" s="1"/>
  <c r="P29" i="20"/>
  <c r="T30" i="20"/>
  <c r="V30" i="20" s="1"/>
  <c r="C30" i="20"/>
  <c r="N30" i="20"/>
  <c r="V29" i="20"/>
  <c r="P28" i="20"/>
  <c r="H25" i="19"/>
  <c r="J25" i="19" s="1"/>
  <c r="G25" i="19"/>
  <c r="I25" i="19" s="1"/>
  <c r="L27" i="19"/>
  <c r="F28" i="19"/>
  <c r="N28" i="19"/>
  <c r="T28" i="19"/>
  <c r="C28" i="19"/>
  <c r="U27" i="19"/>
  <c r="V27" i="19" s="1"/>
  <c r="W27" i="19" s="1"/>
  <c r="X27" i="19" s="1"/>
  <c r="B27" i="19"/>
  <c r="D26" i="19"/>
  <c r="M27" i="19"/>
  <c r="O27" i="19" s="1"/>
  <c r="P27" i="19" s="1"/>
  <c r="R24" i="19"/>
  <c r="S24" i="19" s="1"/>
  <c r="R25" i="18"/>
  <c r="S25" i="18" s="1"/>
  <c r="V27" i="18"/>
  <c r="W27" i="18" s="1"/>
  <c r="X27" i="18" s="1"/>
  <c r="F28" i="18"/>
  <c r="L27" i="18"/>
  <c r="U28" i="18"/>
  <c r="B28" i="18"/>
  <c r="D27" i="18"/>
  <c r="M28" i="18"/>
  <c r="G26" i="18"/>
  <c r="I26" i="18" s="1"/>
  <c r="H26" i="18"/>
  <c r="N28" i="18"/>
  <c r="T28" i="18"/>
  <c r="C28" i="18"/>
  <c r="O27" i="17"/>
  <c r="P27" i="17" s="1"/>
  <c r="R25" i="17"/>
  <c r="S25" i="17" s="1"/>
  <c r="F29" i="17"/>
  <c r="U28" i="17"/>
  <c r="D27" i="17"/>
  <c r="B28" i="17"/>
  <c r="M28" i="17"/>
  <c r="T28" i="17"/>
  <c r="V28" i="17" s="1"/>
  <c r="W28" i="17" s="1"/>
  <c r="X28" i="17" s="1"/>
  <c r="C28" i="17"/>
  <c r="N28" i="17"/>
  <c r="G26" i="17"/>
  <c r="I26" i="17" s="1"/>
  <c r="H26" i="17"/>
  <c r="J26" i="17" s="1"/>
  <c r="W28" i="22" l="1"/>
  <c r="X28" i="22" s="1"/>
  <c r="H27" i="22"/>
  <c r="J27" i="22" s="1"/>
  <c r="G27" i="22"/>
  <c r="I27" i="22" s="1"/>
  <c r="O28" i="22"/>
  <c r="P28" i="22" s="1"/>
  <c r="T29" i="22"/>
  <c r="C29" i="22"/>
  <c r="N29" i="22"/>
  <c r="U29" i="22"/>
  <c r="B29" i="22"/>
  <c r="M29" i="22"/>
  <c r="O29" i="22" s="1"/>
  <c r="D28" i="22"/>
  <c r="F29" i="22"/>
  <c r="L28" i="22"/>
  <c r="P28" i="21"/>
  <c r="R27" i="21"/>
  <c r="S27" i="21" s="1"/>
  <c r="U30" i="21"/>
  <c r="V30" i="21" s="1"/>
  <c r="D29" i="21"/>
  <c r="B30" i="21"/>
  <c r="M30" i="21"/>
  <c r="O30" i="21" s="1"/>
  <c r="H28" i="21"/>
  <c r="J28" i="21" s="1"/>
  <c r="G28" i="21"/>
  <c r="W29" i="21"/>
  <c r="X29" i="21" s="1"/>
  <c r="T31" i="21"/>
  <c r="C31" i="21"/>
  <c r="N31" i="21"/>
  <c r="P29" i="21"/>
  <c r="L28" i="21"/>
  <c r="L29" i="20"/>
  <c r="T31" i="20"/>
  <c r="N31" i="20"/>
  <c r="C31" i="20"/>
  <c r="U31" i="20"/>
  <c r="D30" i="20"/>
  <c r="M31" i="20"/>
  <c r="O31" i="20" s="1"/>
  <c r="B31" i="20"/>
  <c r="W30" i="20"/>
  <c r="X30" i="20" s="1"/>
  <c r="P30" i="20"/>
  <c r="R28" i="20"/>
  <c r="S28" i="20" s="1"/>
  <c r="W29" i="20"/>
  <c r="X29" i="20" s="1"/>
  <c r="H29" i="20"/>
  <c r="J29" i="20" s="1"/>
  <c r="G29" i="20"/>
  <c r="R25" i="19"/>
  <c r="S25" i="19" s="1"/>
  <c r="N29" i="19"/>
  <c r="C29" i="19"/>
  <c r="T29" i="19"/>
  <c r="F29" i="19"/>
  <c r="L28" i="19"/>
  <c r="U28" i="19"/>
  <c r="V28" i="19" s="1"/>
  <c r="W28" i="19" s="1"/>
  <c r="X28" i="19" s="1"/>
  <c r="D27" i="19"/>
  <c r="M28" i="19"/>
  <c r="O28" i="19" s="1"/>
  <c r="P28" i="19" s="1"/>
  <c r="B28" i="19"/>
  <c r="G26" i="19"/>
  <c r="I26" i="19" s="1"/>
  <c r="H26" i="19"/>
  <c r="J26" i="19" s="1"/>
  <c r="R26" i="18"/>
  <c r="S26" i="18" s="1"/>
  <c r="O28" i="18"/>
  <c r="P28" i="18" s="1"/>
  <c r="H27" i="18"/>
  <c r="G27" i="18"/>
  <c r="I27" i="18" s="1"/>
  <c r="B29" i="18"/>
  <c r="D28" i="18"/>
  <c r="U29" i="18"/>
  <c r="M29" i="18"/>
  <c r="L28" i="18"/>
  <c r="F29" i="18"/>
  <c r="C29" i="18"/>
  <c r="T29" i="18"/>
  <c r="V29" i="18" s="1"/>
  <c r="W29" i="18" s="1"/>
  <c r="X29" i="18" s="1"/>
  <c r="N29" i="18"/>
  <c r="V28" i="18"/>
  <c r="W28" i="18" s="1"/>
  <c r="X28" i="18" s="1"/>
  <c r="H27" i="17"/>
  <c r="J27" i="17" s="1"/>
  <c r="G27" i="17"/>
  <c r="I27" i="17" s="1"/>
  <c r="T29" i="17"/>
  <c r="C29" i="17"/>
  <c r="N29" i="17"/>
  <c r="U29" i="17"/>
  <c r="D28" i="17"/>
  <c r="M29" i="17"/>
  <c r="O29" i="17" s="1"/>
  <c r="P29" i="17" s="1"/>
  <c r="B29" i="17"/>
  <c r="F30" i="17"/>
  <c r="O28" i="17"/>
  <c r="P28" i="17" s="1"/>
  <c r="R26" i="17"/>
  <c r="S26" i="17" s="1"/>
  <c r="R27" i="17"/>
  <c r="S27" i="17" s="1"/>
  <c r="P29" i="22" l="1"/>
  <c r="R27" i="22"/>
  <c r="S27" i="22" s="1"/>
  <c r="L29" i="22"/>
  <c r="F30" i="22"/>
  <c r="T30" i="22"/>
  <c r="C30" i="22"/>
  <c r="N30" i="22"/>
  <c r="V29" i="22"/>
  <c r="W29" i="22" s="1"/>
  <c r="X29" i="22" s="1"/>
  <c r="H28" i="22"/>
  <c r="J28" i="22" s="1"/>
  <c r="R28" i="22" s="1"/>
  <c r="S28" i="22" s="1"/>
  <c r="G28" i="22"/>
  <c r="I28" i="22" s="1"/>
  <c r="U30" i="22"/>
  <c r="D29" i="22"/>
  <c r="B30" i="22"/>
  <c r="M30" i="22"/>
  <c r="R28" i="21"/>
  <c r="S28" i="21" s="1"/>
  <c r="U31" i="21"/>
  <c r="V31" i="21" s="1"/>
  <c r="D30" i="21"/>
  <c r="B31" i="21"/>
  <c r="M31" i="21"/>
  <c r="O31" i="21" s="1"/>
  <c r="T32" i="21"/>
  <c r="N32" i="21"/>
  <c r="C32" i="21"/>
  <c r="H29" i="21"/>
  <c r="J29" i="21" s="1"/>
  <c r="G29" i="21"/>
  <c r="P30" i="21"/>
  <c r="L29" i="21"/>
  <c r="R29" i="21" s="1"/>
  <c r="S29" i="21" s="1"/>
  <c r="R29" i="20"/>
  <c r="S29" i="20" s="1"/>
  <c r="H30" i="20"/>
  <c r="J30" i="20" s="1"/>
  <c r="G30" i="20"/>
  <c r="M32" i="20"/>
  <c r="U32" i="20"/>
  <c r="D31" i="20"/>
  <c r="B32" i="20"/>
  <c r="T32" i="20"/>
  <c r="V32" i="20" s="1"/>
  <c r="C32" i="20"/>
  <c r="N32" i="20"/>
  <c r="V31" i="20"/>
  <c r="P31" i="20"/>
  <c r="L30" i="20"/>
  <c r="F30" i="19"/>
  <c r="L29" i="19"/>
  <c r="D28" i="19"/>
  <c r="M29" i="19"/>
  <c r="O29" i="19" s="1"/>
  <c r="P29" i="19" s="1"/>
  <c r="U29" i="19"/>
  <c r="V29" i="19" s="1"/>
  <c r="W29" i="19" s="1"/>
  <c r="X29" i="19" s="1"/>
  <c r="B29" i="19"/>
  <c r="N30" i="19"/>
  <c r="C30" i="19"/>
  <c r="T30" i="19"/>
  <c r="H27" i="19"/>
  <c r="J27" i="19" s="1"/>
  <c r="G27" i="19"/>
  <c r="I27" i="19" s="1"/>
  <c r="R26" i="19"/>
  <c r="S26" i="19" s="1"/>
  <c r="R27" i="18"/>
  <c r="S27" i="18" s="1"/>
  <c r="T30" i="18"/>
  <c r="N30" i="18"/>
  <c r="C30" i="18"/>
  <c r="L29" i="18"/>
  <c r="F30" i="18"/>
  <c r="O29" i="18"/>
  <c r="P29" i="18" s="1"/>
  <c r="G28" i="18"/>
  <c r="I28" i="18" s="1"/>
  <c r="H28" i="18"/>
  <c r="R28" i="18" s="1"/>
  <c r="S28" i="18" s="1"/>
  <c r="M30" i="18"/>
  <c r="O30" i="18" s="1"/>
  <c r="P30" i="18" s="1"/>
  <c r="D29" i="18"/>
  <c r="U30" i="18"/>
  <c r="B30" i="18"/>
  <c r="F31" i="17"/>
  <c r="T30" i="17"/>
  <c r="N30" i="17"/>
  <c r="C30" i="17"/>
  <c r="H28" i="17"/>
  <c r="J28" i="17" s="1"/>
  <c r="R28" i="17" s="1"/>
  <c r="S28" i="17" s="1"/>
  <c r="G28" i="17"/>
  <c r="I28" i="17" s="1"/>
  <c r="V29" i="17"/>
  <c r="W29" i="17" s="1"/>
  <c r="X29" i="17" s="1"/>
  <c r="U30" i="17"/>
  <c r="D29" i="17"/>
  <c r="B30" i="17"/>
  <c r="M30" i="17"/>
  <c r="H29" i="22" l="1"/>
  <c r="J29" i="22" s="1"/>
  <c r="G29" i="22"/>
  <c r="I29" i="22" s="1"/>
  <c r="T31" i="22"/>
  <c r="C31" i="22"/>
  <c r="N31" i="22"/>
  <c r="V30" i="22"/>
  <c r="W30" i="22" s="1"/>
  <c r="X30" i="22" s="1"/>
  <c r="O30" i="22"/>
  <c r="P30" i="22" s="1"/>
  <c r="F31" i="22"/>
  <c r="L30" i="22"/>
  <c r="U31" i="22"/>
  <c r="D30" i="22"/>
  <c r="B31" i="22"/>
  <c r="M31" i="22"/>
  <c r="N33" i="21"/>
  <c r="T33" i="21"/>
  <c r="C33" i="21"/>
  <c r="H30" i="21"/>
  <c r="J30" i="21" s="1"/>
  <c r="G30" i="21"/>
  <c r="V32" i="21"/>
  <c r="P31" i="21"/>
  <c r="L30" i="21"/>
  <c r="R30" i="21" s="1"/>
  <c r="S30" i="21" s="1"/>
  <c r="W30" i="21"/>
  <c r="X30" i="21" s="1"/>
  <c r="M32" i="21"/>
  <c r="O32" i="21" s="1"/>
  <c r="U32" i="21"/>
  <c r="D31" i="21"/>
  <c r="B32" i="21"/>
  <c r="W31" i="20"/>
  <c r="X31" i="20" s="1"/>
  <c r="R30" i="20"/>
  <c r="S30" i="20" s="1"/>
  <c r="B33" i="20"/>
  <c r="M33" i="20"/>
  <c r="U33" i="20"/>
  <c r="D32" i="20"/>
  <c r="G31" i="20"/>
  <c r="H31" i="20"/>
  <c r="J31" i="20" s="1"/>
  <c r="N33" i="20"/>
  <c r="T33" i="20"/>
  <c r="V33" i="20" s="1"/>
  <c r="C33" i="20"/>
  <c r="O32" i="20"/>
  <c r="P32" i="20" s="1"/>
  <c r="L31" i="20"/>
  <c r="W32" i="20"/>
  <c r="X32" i="20" s="1"/>
  <c r="R27" i="19"/>
  <c r="S27" i="19" s="1"/>
  <c r="H28" i="19"/>
  <c r="J28" i="19" s="1"/>
  <c r="G28" i="19"/>
  <c r="I28" i="19" s="1"/>
  <c r="B30" i="19"/>
  <c r="M30" i="19"/>
  <c r="O30" i="19" s="1"/>
  <c r="P30" i="19" s="1"/>
  <c r="U30" i="19"/>
  <c r="V30" i="19" s="1"/>
  <c r="W30" i="19" s="1"/>
  <c r="X30" i="19" s="1"/>
  <c r="D29" i="19"/>
  <c r="T31" i="19"/>
  <c r="C31" i="19"/>
  <c r="N31" i="19"/>
  <c r="L30" i="19"/>
  <c r="F31" i="19"/>
  <c r="U31" i="18"/>
  <c r="D30" i="18"/>
  <c r="B31" i="18"/>
  <c r="M31" i="18"/>
  <c r="G29" i="18"/>
  <c r="I29" i="18" s="1"/>
  <c r="H29" i="18"/>
  <c r="L30" i="18"/>
  <c r="F31" i="18"/>
  <c r="N31" i="18"/>
  <c r="T31" i="18"/>
  <c r="V31" i="18" s="1"/>
  <c r="W31" i="18" s="1"/>
  <c r="X31" i="18" s="1"/>
  <c r="C31" i="18"/>
  <c r="V30" i="18"/>
  <c r="W30" i="18" s="1"/>
  <c r="X30" i="18" s="1"/>
  <c r="T31" i="17"/>
  <c r="C31" i="17"/>
  <c r="N31" i="17"/>
  <c r="H29" i="17"/>
  <c r="J29" i="17" s="1"/>
  <c r="R29" i="17" s="1"/>
  <c r="S29" i="17" s="1"/>
  <c r="G29" i="17"/>
  <c r="I29" i="17" s="1"/>
  <c r="V30" i="17"/>
  <c r="W30" i="17" s="1"/>
  <c r="X30" i="17" s="1"/>
  <c r="O30" i="17"/>
  <c r="P30" i="17" s="1"/>
  <c r="U31" i="17"/>
  <c r="D30" i="17"/>
  <c r="B31" i="17"/>
  <c r="M31" i="17"/>
  <c r="O31" i="17" s="1"/>
  <c r="P31" i="17" s="1"/>
  <c r="F32" i="17"/>
  <c r="M32" i="22" l="1"/>
  <c r="U32" i="22"/>
  <c r="D31" i="22"/>
  <c r="B32" i="22"/>
  <c r="L31" i="22"/>
  <c r="F32" i="22"/>
  <c r="T32" i="22"/>
  <c r="V32" i="22" s="1"/>
  <c r="W32" i="22" s="1"/>
  <c r="X32" i="22" s="1"/>
  <c r="C32" i="22"/>
  <c r="N32" i="22"/>
  <c r="V31" i="22"/>
  <c r="W31" i="22" s="1"/>
  <c r="X31" i="22" s="1"/>
  <c r="H30" i="22"/>
  <c r="J30" i="22" s="1"/>
  <c r="R30" i="22" s="1"/>
  <c r="S30" i="22" s="1"/>
  <c r="G30" i="22"/>
  <c r="I30" i="22" s="1"/>
  <c r="O31" i="22"/>
  <c r="P31" i="22" s="1"/>
  <c r="R29" i="22"/>
  <c r="S29" i="22" s="1"/>
  <c r="L31" i="21"/>
  <c r="P32" i="21"/>
  <c r="C34" i="21"/>
  <c r="N34" i="21"/>
  <c r="T34" i="21"/>
  <c r="W31" i="21"/>
  <c r="X31" i="21" s="1"/>
  <c r="W32" i="21"/>
  <c r="X32" i="21" s="1"/>
  <c r="B33" i="21"/>
  <c r="M33" i="21"/>
  <c r="O33" i="21" s="1"/>
  <c r="U33" i="21"/>
  <c r="V33" i="21" s="1"/>
  <c r="D32" i="21"/>
  <c r="H31" i="21"/>
  <c r="J31" i="21" s="1"/>
  <c r="G31" i="21"/>
  <c r="R31" i="20"/>
  <c r="S31" i="20" s="1"/>
  <c r="C34" i="20"/>
  <c r="N34" i="20"/>
  <c r="T34" i="20"/>
  <c r="H32" i="20"/>
  <c r="J32" i="20" s="1"/>
  <c r="G32" i="20"/>
  <c r="L32" i="20"/>
  <c r="R32" i="20" s="1"/>
  <c r="S32" i="20" s="1"/>
  <c r="B34" i="20"/>
  <c r="M34" i="20"/>
  <c r="O34" i="20" s="1"/>
  <c r="U34" i="20"/>
  <c r="D33" i="20"/>
  <c r="O33" i="20"/>
  <c r="R28" i="19"/>
  <c r="S28" i="19" s="1"/>
  <c r="H29" i="19"/>
  <c r="J29" i="19" s="1"/>
  <c r="G29" i="19"/>
  <c r="I29" i="19" s="1"/>
  <c r="B31" i="19"/>
  <c r="U31" i="19"/>
  <c r="D30" i="19"/>
  <c r="M31" i="19"/>
  <c r="O31" i="19" s="1"/>
  <c r="P31" i="19" s="1"/>
  <c r="V31" i="19"/>
  <c r="W31" i="19" s="1"/>
  <c r="X31" i="19" s="1"/>
  <c r="T32" i="19"/>
  <c r="C32" i="19"/>
  <c r="N32" i="19"/>
  <c r="L31" i="19"/>
  <c r="F32" i="19"/>
  <c r="R29" i="18"/>
  <c r="S29" i="18" s="1"/>
  <c r="L31" i="18"/>
  <c r="F32" i="18"/>
  <c r="O31" i="18"/>
  <c r="P31" i="18" s="1"/>
  <c r="M32" i="18"/>
  <c r="B32" i="18"/>
  <c r="U32" i="18"/>
  <c r="D31" i="18"/>
  <c r="H30" i="18"/>
  <c r="G30" i="18"/>
  <c r="I30" i="18" s="1"/>
  <c r="C32" i="18"/>
  <c r="N32" i="18"/>
  <c r="T32" i="18"/>
  <c r="M32" i="17"/>
  <c r="U32" i="17"/>
  <c r="D31" i="17"/>
  <c r="B32" i="17"/>
  <c r="T32" i="17"/>
  <c r="V32" i="17" s="1"/>
  <c r="W32" i="17" s="1"/>
  <c r="X32" i="17" s="1"/>
  <c r="C32" i="17"/>
  <c r="N32" i="17"/>
  <c r="H30" i="17"/>
  <c r="J30" i="17" s="1"/>
  <c r="R30" i="17" s="1"/>
  <c r="S30" i="17" s="1"/>
  <c r="G30" i="17"/>
  <c r="I30" i="17" s="1"/>
  <c r="F33" i="17"/>
  <c r="V31" i="17"/>
  <c r="W31" i="17" s="1"/>
  <c r="X31" i="17" s="1"/>
  <c r="L32" i="22" l="1"/>
  <c r="F33" i="22"/>
  <c r="B33" i="22"/>
  <c r="M33" i="22"/>
  <c r="U33" i="22"/>
  <c r="D32" i="22"/>
  <c r="H31" i="22"/>
  <c r="J31" i="22" s="1"/>
  <c r="R31" i="22" s="1"/>
  <c r="S31" i="22" s="1"/>
  <c r="G31" i="22"/>
  <c r="I31" i="22" s="1"/>
  <c r="N33" i="22"/>
  <c r="T33" i="22"/>
  <c r="V33" i="22" s="1"/>
  <c r="W33" i="22" s="1"/>
  <c r="X33" i="22" s="1"/>
  <c r="C33" i="22"/>
  <c r="O32" i="22"/>
  <c r="P32" i="22" s="1"/>
  <c r="R31" i="21"/>
  <c r="S31" i="21" s="1"/>
  <c r="W33" i="21"/>
  <c r="X33" i="21" s="1"/>
  <c r="B34" i="21"/>
  <c r="M34" i="21"/>
  <c r="O34" i="21" s="1"/>
  <c r="U34" i="21"/>
  <c r="D33" i="21"/>
  <c r="P33" i="21"/>
  <c r="V34" i="21"/>
  <c r="C35" i="21"/>
  <c r="N35" i="21"/>
  <c r="T35" i="21"/>
  <c r="L32" i="21"/>
  <c r="R32" i="21" s="1"/>
  <c r="S32" i="21" s="1"/>
  <c r="H32" i="21"/>
  <c r="J32" i="21" s="1"/>
  <c r="G32" i="21"/>
  <c r="B35" i="20"/>
  <c r="M35" i="20"/>
  <c r="U35" i="20"/>
  <c r="D34" i="20"/>
  <c r="L33" i="20"/>
  <c r="P34" i="20"/>
  <c r="V34" i="20"/>
  <c r="W34" i="20" s="1"/>
  <c r="X34" i="20" s="1"/>
  <c r="C35" i="20"/>
  <c r="N35" i="20"/>
  <c r="T35" i="20"/>
  <c r="V35" i="20" s="1"/>
  <c r="H33" i="20"/>
  <c r="J33" i="20" s="1"/>
  <c r="G33" i="20"/>
  <c r="P33" i="20"/>
  <c r="W33" i="20"/>
  <c r="X33" i="20" s="1"/>
  <c r="R29" i="19"/>
  <c r="S29" i="19" s="1"/>
  <c r="V32" i="19"/>
  <c r="W32" i="19" s="1"/>
  <c r="X32" i="19" s="1"/>
  <c r="G30" i="19"/>
  <c r="I30" i="19" s="1"/>
  <c r="H30" i="19"/>
  <c r="J30" i="19" s="1"/>
  <c r="R30" i="19" s="1"/>
  <c r="S30" i="19" s="1"/>
  <c r="N33" i="19"/>
  <c r="C33" i="19"/>
  <c r="T33" i="19"/>
  <c r="M32" i="19"/>
  <c r="O32" i="19" s="1"/>
  <c r="P32" i="19" s="1"/>
  <c r="U32" i="19"/>
  <c r="B32" i="19"/>
  <c r="D31" i="19"/>
  <c r="F33" i="19"/>
  <c r="L32" i="19"/>
  <c r="R30" i="18"/>
  <c r="S30" i="18" s="1"/>
  <c r="B33" i="18"/>
  <c r="D32" i="18"/>
  <c r="U33" i="18"/>
  <c r="M33" i="18"/>
  <c r="N33" i="18"/>
  <c r="T33" i="18"/>
  <c r="C33" i="18"/>
  <c r="F33" i="18"/>
  <c r="L32" i="18"/>
  <c r="H31" i="18"/>
  <c r="R31" i="18" s="1"/>
  <c r="S31" i="18" s="1"/>
  <c r="G31" i="18"/>
  <c r="I31" i="18" s="1"/>
  <c r="O32" i="18"/>
  <c r="P32" i="18" s="1"/>
  <c r="V32" i="18"/>
  <c r="W32" i="18" s="1"/>
  <c r="X32" i="18" s="1"/>
  <c r="B33" i="17"/>
  <c r="M33" i="17"/>
  <c r="U33" i="17"/>
  <c r="D32" i="17"/>
  <c r="N33" i="17"/>
  <c r="T33" i="17"/>
  <c r="V33" i="17" s="1"/>
  <c r="W33" i="17" s="1"/>
  <c r="X33" i="17" s="1"/>
  <c r="C33" i="17"/>
  <c r="H31" i="17"/>
  <c r="J31" i="17" s="1"/>
  <c r="R31" i="17" s="1"/>
  <c r="S31" i="17" s="1"/>
  <c r="G31" i="17"/>
  <c r="I31" i="17" s="1"/>
  <c r="F34" i="17"/>
  <c r="O32" i="17"/>
  <c r="P32" i="17" s="1"/>
  <c r="C34" i="22" l="1"/>
  <c r="N34" i="22"/>
  <c r="T34" i="22"/>
  <c r="O33" i="22"/>
  <c r="P33" i="22" s="1"/>
  <c r="B34" i="22"/>
  <c r="M34" i="22"/>
  <c r="O34" i="22" s="1"/>
  <c r="U34" i="22"/>
  <c r="D33" i="22"/>
  <c r="H32" i="22"/>
  <c r="J32" i="22" s="1"/>
  <c r="R32" i="22" s="1"/>
  <c r="S32" i="22" s="1"/>
  <c r="G32" i="22"/>
  <c r="I32" i="22" s="1"/>
  <c r="L33" i="22"/>
  <c r="F34" i="22"/>
  <c r="H33" i="21"/>
  <c r="J33" i="21" s="1"/>
  <c r="G33" i="21"/>
  <c r="B35" i="21"/>
  <c r="M35" i="21"/>
  <c r="O35" i="21" s="1"/>
  <c r="U35" i="21"/>
  <c r="V35" i="21" s="1"/>
  <c r="D34" i="21"/>
  <c r="C36" i="21"/>
  <c r="N36" i="21"/>
  <c r="T36" i="21"/>
  <c r="L33" i="21"/>
  <c r="R33" i="21" s="1"/>
  <c r="S33" i="21" s="1"/>
  <c r="P34" i="21"/>
  <c r="C36" i="20"/>
  <c r="N36" i="20"/>
  <c r="T36" i="20"/>
  <c r="V36" i="20" s="1"/>
  <c r="L34" i="20"/>
  <c r="H34" i="20"/>
  <c r="J34" i="20" s="1"/>
  <c r="G34" i="20"/>
  <c r="R33" i="20"/>
  <c r="S33" i="20" s="1"/>
  <c r="O35" i="20"/>
  <c r="P35" i="20" s="1"/>
  <c r="W35" i="20"/>
  <c r="X35" i="20" s="1"/>
  <c r="D35" i="20"/>
  <c r="B36" i="20"/>
  <c r="M36" i="20"/>
  <c r="O36" i="20" s="1"/>
  <c r="U36" i="20"/>
  <c r="C34" i="19"/>
  <c r="N34" i="19"/>
  <c r="T34" i="19"/>
  <c r="H31" i="19"/>
  <c r="J31" i="19" s="1"/>
  <c r="G31" i="19"/>
  <c r="I31" i="19" s="1"/>
  <c r="F34" i="19"/>
  <c r="L33" i="19"/>
  <c r="B33" i="19"/>
  <c r="U33" i="19"/>
  <c r="V33" i="19" s="1"/>
  <c r="W33" i="19" s="1"/>
  <c r="X33" i="19" s="1"/>
  <c r="D32" i="19"/>
  <c r="M33" i="19"/>
  <c r="O33" i="19" s="1"/>
  <c r="P33" i="19" s="1"/>
  <c r="C34" i="18"/>
  <c r="T34" i="18"/>
  <c r="N34" i="18"/>
  <c r="V33" i="18"/>
  <c r="W33" i="18" s="1"/>
  <c r="X33" i="18" s="1"/>
  <c r="F34" i="18"/>
  <c r="L33" i="18"/>
  <c r="O33" i="18"/>
  <c r="P33" i="18" s="1"/>
  <c r="H32" i="18"/>
  <c r="G32" i="18"/>
  <c r="I32" i="18" s="1"/>
  <c r="U34" i="18"/>
  <c r="D33" i="18"/>
  <c r="M34" i="18"/>
  <c r="B34" i="18"/>
  <c r="F35" i="17"/>
  <c r="C34" i="17"/>
  <c r="N34" i="17"/>
  <c r="T34" i="17"/>
  <c r="O33" i="17"/>
  <c r="P33" i="17" s="1"/>
  <c r="H32" i="17"/>
  <c r="J32" i="17" s="1"/>
  <c r="R32" i="17" s="1"/>
  <c r="S32" i="17" s="1"/>
  <c r="G32" i="17"/>
  <c r="I32" i="17" s="1"/>
  <c r="B34" i="17"/>
  <c r="M34" i="17"/>
  <c r="O34" i="17" s="1"/>
  <c r="P34" i="17" s="1"/>
  <c r="U34" i="17"/>
  <c r="D33" i="17"/>
  <c r="P34" i="22" l="1"/>
  <c r="B35" i="22"/>
  <c r="M35" i="22"/>
  <c r="O35" i="22" s="1"/>
  <c r="U35" i="22"/>
  <c r="D34" i="22"/>
  <c r="V34" i="22"/>
  <c r="W34" i="22" s="1"/>
  <c r="X34" i="22" s="1"/>
  <c r="L34" i="22"/>
  <c r="F35" i="22"/>
  <c r="H33" i="22"/>
  <c r="J33" i="22" s="1"/>
  <c r="R33" i="22" s="1"/>
  <c r="S33" i="22" s="1"/>
  <c r="G33" i="22"/>
  <c r="I33" i="22" s="1"/>
  <c r="C35" i="22"/>
  <c r="N35" i="22"/>
  <c r="T35" i="22"/>
  <c r="V35" i="22" s="1"/>
  <c r="H34" i="21"/>
  <c r="J34" i="21" s="1"/>
  <c r="G34" i="21"/>
  <c r="L34" i="21"/>
  <c r="R34" i="21" s="1"/>
  <c r="S34" i="21" s="1"/>
  <c r="W34" i="21"/>
  <c r="X34" i="21" s="1"/>
  <c r="C37" i="21"/>
  <c r="N37" i="21"/>
  <c r="T37" i="21"/>
  <c r="D35" i="21"/>
  <c r="B36" i="21"/>
  <c r="M36" i="21"/>
  <c r="O36" i="21" s="1"/>
  <c r="U36" i="21"/>
  <c r="V36" i="21"/>
  <c r="R34" i="20"/>
  <c r="S34" i="20" s="1"/>
  <c r="L35" i="20"/>
  <c r="W36" i="20"/>
  <c r="X36" i="20" s="1"/>
  <c r="H35" i="20"/>
  <c r="J35" i="20" s="1"/>
  <c r="G35" i="20"/>
  <c r="D36" i="20"/>
  <c r="B37" i="20"/>
  <c r="M37" i="20"/>
  <c r="O37" i="20" s="1"/>
  <c r="U37" i="20"/>
  <c r="C37" i="20"/>
  <c r="N37" i="20"/>
  <c r="T37" i="20"/>
  <c r="R31" i="19"/>
  <c r="S31" i="19" s="1"/>
  <c r="H32" i="19"/>
  <c r="J32" i="19" s="1"/>
  <c r="G32" i="19"/>
  <c r="I32" i="19" s="1"/>
  <c r="F35" i="19"/>
  <c r="L34" i="19"/>
  <c r="D33" i="19"/>
  <c r="M34" i="19"/>
  <c r="O34" i="19" s="1"/>
  <c r="P34" i="19" s="1"/>
  <c r="B34" i="19"/>
  <c r="U34" i="19"/>
  <c r="V34" i="19" s="1"/>
  <c r="W34" i="19" s="1"/>
  <c r="X34" i="19" s="1"/>
  <c r="C35" i="19"/>
  <c r="T35" i="19"/>
  <c r="N35" i="19"/>
  <c r="R32" i="18"/>
  <c r="S32" i="18" s="1"/>
  <c r="L34" i="18"/>
  <c r="F35" i="18"/>
  <c r="V34" i="18"/>
  <c r="W34" i="18" s="1"/>
  <c r="X34" i="18" s="1"/>
  <c r="H33" i="18"/>
  <c r="G33" i="18"/>
  <c r="I33" i="18" s="1"/>
  <c r="M35" i="18"/>
  <c r="U35" i="18"/>
  <c r="D34" i="18"/>
  <c r="B35" i="18"/>
  <c r="O34" i="18"/>
  <c r="P34" i="18" s="1"/>
  <c r="N35" i="18"/>
  <c r="C35" i="18"/>
  <c r="T35" i="18"/>
  <c r="C35" i="17"/>
  <c r="N35" i="17"/>
  <c r="T35" i="17"/>
  <c r="F36" i="17"/>
  <c r="B35" i="17"/>
  <c r="M35" i="17"/>
  <c r="O35" i="17" s="1"/>
  <c r="P35" i="17" s="1"/>
  <c r="U35" i="17"/>
  <c r="D34" i="17"/>
  <c r="V34" i="17"/>
  <c r="W34" i="17" s="1"/>
  <c r="X34" i="17" s="1"/>
  <c r="H33" i="17"/>
  <c r="J33" i="17" s="1"/>
  <c r="R33" i="17" s="1"/>
  <c r="S33" i="17" s="1"/>
  <c r="G33" i="17"/>
  <c r="I33" i="17" s="1"/>
  <c r="H34" i="22" l="1"/>
  <c r="J34" i="22" s="1"/>
  <c r="G34" i="22"/>
  <c r="I34" i="22" s="1"/>
  <c r="P35" i="22"/>
  <c r="W35" i="22"/>
  <c r="X35" i="22" s="1"/>
  <c r="D35" i="22"/>
  <c r="B36" i="22"/>
  <c r="M36" i="22"/>
  <c r="O36" i="22" s="1"/>
  <c r="P36" i="22" s="1"/>
  <c r="U36" i="22"/>
  <c r="C36" i="22"/>
  <c r="N36" i="22"/>
  <c r="T36" i="22"/>
  <c r="V36" i="22" s="1"/>
  <c r="W36" i="22" s="1"/>
  <c r="X36" i="22" s="1"/>
  <c r="L35" i="22"/>
  <c r="F36" i="22"/>
  <c r="R34" i="22"/>
  <c r="S34" i="22" s="1"/>
  <c r="L35" i="21"/>
  <c r="H35" i="21"/>
  <c r="J35" i="21" s="1"/>
  <c r="G35" i="21"/>
  <c r="P35" i="21"/>
  <c r="C38" i="21"/>
  <c r="N38" i="21"/>
  <c r="T38" i="21"/>
  <c r="P36" i="21"/>
  <c r="W35" i="21"/>
  <c r="X35" i="21" s="1"/>
  <c r="W36" i="21"/>
  <c r="X36" i="21" s="1"/>
  <c r="D36" i="21"/>
  <c r="B37" i="21"/>
  <c r="M37" i="21"/>
  <c r="O37" i="21" s="1"/>
  <c r="U37" i="21"/>
  <c r="V37" i="21" s="1"/>
  <c r="R35" i="20"/>
  <c r="S35" i="20" s="1"/>
  <c r="C38" i="20"/>
  <c r="N38" i="20"/>
  <c r="T38" i="20"/>
  <c r="V38" i="20" s="1"/>
  <c r="D37" i="20"/>
  <c r="B38" i="20"/>
  <c r="M38" i="20"/>
  <c r="U38" i="20"/>
  <c r="P36" i="20"/>
  <c r="H36" i="20"/>
  <c r="J36" i="20" s="1"/>
  <c r="G36" i="20"/>
  <c r="L36" i="20"/>
  <c r="V37" i="20"/>
  <c r="R32" i="19"/>
  <c r="S32" i="19" s="1"/>
  <c r="G33" i="19"/>
  <c r="I33" i="19" s="1"/>
  <c r="H33" i="19"/>
  <c r="J33" i="19" s="1"/>
  <c r="R33" i="19" s="1"/>
  <c r="S33" i="19" s="1"/>
  <c r="T36" i="19"/>
  <c r="N36" i="19"/>
  <c r="C36" i="19"/>
  <c r="L35" i="19"/>
  <c r="F36" i="19"/>
  <c r="U35" i="19"/>
  <c r="V35" i="19" s="1"/>
  <c r="W35" i="19" s="1"/>
  <c r="X35" i="19" s="1"/>
  <c r="B35" i="19"/>
  <c r="M35" i="19"/>
  <c r="O35" i="19" s="1"/>
  <c r="P35" i="19" s="1"/>
  <c r="D34" i="19"/>
  <c r="R33" i="18"/>
  <c r="S33" i="18" s="1"/>
  <c r="O35" i="18"/>
  <c r="P35" i="18" s="1"/>
  <c r="H34" i="18"/>
  <c r="R34" i="18" s="1"/>
  <c r="S34" i="18" s="1"/>
  <c r="G34" i="18"/>
  <c r="I34" i="18" s="1"/>
  <c r="D35" i="18"/>
  <c r="B36" i="18"/>
  <c r="M36" i="18"/>
  <c r="U36" i="18"/>
  <c r="L35" i="18"/>
  <c r="F36" i="18"/>
  <c r="V35" i="18"/>
  <c r="W35" i="18" s="1"/>
  <c r="X35" i="18" s="1"/>
  <c r="N36" i="18"/>
  <c r="T36" i="18"/>
  <c r="C36" i="18"/>
  <c r="H34" i="17"/>
  <c r="J34" i="17" s="1"/>
  <c r="G34" i="17"/>
  <c r="I34" i="17" s="1"/>
  <c r="V35" i="17"/>
  <c r="W35" i="17" s="1"/>
  <c r="X35" i="17" s="1"/>
  <c r="F37" i="17"/>
  <c r="C36" i="17"/>
  <c r="N36" i="17"/>
  <c r="T36" i="17"/>
  <c r="V36" i="17" s="1"/>
  <c r="W36" i="17" s="1"/>
  <c r="X36" i="17" s="1"/>
  <c r="D35" i="17"/>
  <c r="B36" i="17"/>
  <c r="M36" i="17"/>
  <c r="O36" i="17" s="1"/>
  <c r="P36" i="17" s="1"/>
  <c r="U36" i="17"/>
  <c r="D36" i="22" l="1"/>
  <c r="B37" i="22"/>
  <c r="M37" i="22"/>
  <c r="U37" i="22"/>
  <c r="H35" i="22"/>
  <c r="J35" i="22" s="1"/>
  <c r="G35" i="22"/>
  <c r="I35" i="22" s="1"/>
  <c r="R35" i="22" s="1"/>
  <c r="S35" i="22" s="1"/>
  <c r="C37" i="22"/>
  <c r="N37" i="22"/>
  <c r="T37" i="22"/>
  <c r="V37" i="22" s="1"/>
  <c r="F37" i="22"/>
  <c r="L36" i="22"/>
  <c r="T39" i="21"/>
  <c r="C39" i="21"/>
  <c r="N39" i="21"/>
  <c r="R35" i="21"/>
  <c r="S35" i="21" s="1"/>
  <c r="D37" i="21"/>
  <c r="B38" i="21"/>
  <c r="M38" i="21"/>
  <c r="O38" i="21" s="1"/>
  <c r="U38" i="21"/>
  <c r="V38" i="21" s="1"/>
  <c r="W37" i="21"/>
  <c r="X37" i="21" s="1"/>
  <c r="L36" i="21"/>
  <c r="H36" i="21"/>
  <c r="J36" i="21" s="1"/>
  <c r="G36" i="21"/>
  <c r="R36" i="20"/>
  <c r="S36" i="20" s="1"/>
  <c r="L37" i="20"/>
  <c r="O38" i="20"/>
  <c r="P38" i="20" s="1"/>
  <c r="D38" i="20"/>
  <c r="B39" i="20"/>
  <c r="M39" i="20"/>
  <c r="O39" i="20" s="1"/>
  <c r="U39" i="20"/>
  <c r="G37" i="20"/>
  <c r="H37" i="20"/>
  <c r="J37" i="20" s="1"/>
  <c r="P37" i="20"/>
  <c r="W38" i="20"/>
  <c r="X38" i="20" s="1"/>
  <c r="W37" i="20"/>
  <c r="X37" i="20" s="1"/>
  <c r="T39" i="20"/>
  <c r="C39" i="20"/>
  <c r="N39" i="20"/>
  <c r="F37" i="19"/>
  <c r="L36" i="19"/>
  <c r="N37" i="19"/>
  <c r="T37" i="19"/>
  <c r="C37" i="19"/>
  <c r="D35" i="19"/>
  <c r="M36" i="19"/>
  <c r="O36" i="19" s="1"/>
  <c r="P36" i="19" s="1"/>
  <c r="U36" i="19"/>
  <c r="V36" i="19" s="1"/>
  <c r="W36" i="19" s="1"/>
  <c r="X36" i="19" s="1"/>
  <c r="B36" i="19"/>
  <c r="H34" i="19"/>
  <c r="J34" i="19" s="1"/>
  <c r="G34" i="19"/>
  <c r="I34" i="19" s="1"/>
  <c r="O36" i="18"/>
  <c r="P36" i="18" s="1"/>
  <c r="B37" i="18"/>
  <c r="M37" i="18"/>
  <c r="U37" i="18"/>
  <c r="D36" i="18"/>
  <c r="H35" i="18"/>
  <c r="G35" i="18"/>
  <c r="I35" i="18" s="1"/>
  <c r="F37" i="18"/>
  <c r="L36" i="18"/>
  <c r="C37" i="18"/>
  <c r="N37" i="18"/>
  <c r="T37" i="18"/>
  <c r="V37" i="18" s="1"/>
  <c r="W37" i="18" s="1"/>
  <c r="X37" i="18" s="1"/>
  <c r="V36" i="18"/>
  <c r="W36" i="18" s="1"/>
  <c r="X36" i="18" s="1"/>
  <c r="H35" i="17"/>
  <c r="J35" i="17" s="1"/>
  <c r="R35" i="17" s="1"/>
  <c r="S35" i="17" s="1"/>
  <c r="G35" i="17"/>
  <c r="I35" i="17" s="1"/>
  <c r="C37" i="17"/>
  <c r="N37" i="17"/>
  <c r="T37" i="17"/>
  <c r="F38" i="17"/>
  <c r="D36" i="17"/>
  <c r="B37" i="17"/>
  <c r="M37" i="17"/>
  <c r="O37" i="17" s="1"/>
  <c r="P37" i="17" s="1"/>
  <c r="U37" i="17"/>
  <c r="R34" i="17"/>
  <c r="S34" i="17" s="1"/>
  <c r="O37" i="22" l="1"/>
  <c r="P37" i="22" s="1"/>
  <c r="W37" i="22"/>
  <c r="X37" i="22" s="1"/>
  <c r="D37" i="22"/>
  <c r="B38" i="22"/>
  <c r="M38" i="22"/>
  <c r="U38" i="22"/>
  <c r="F38" i="22"/>
  <c r="L37" i="22"/>
  <c r="C38" i="22"/>
  <c r="N38" i="22"/>
  <c r="T38" i="22"/>
  <c r="V38" i="22" s="1"/>
  <c r="W38" i="22" s="1"/>
  <c r="X38" i="22" s="1"/>
  <c r="H36" i="22"/>
  <c r="J36" i="22" s="1"/>
  <c r="R36" i="22" s="1"/>
  <c r="S36" i="22" s="1"/>
  <c r="G36" i="22"/>
  <c r="I36" i="22" s="1"/>
  <c r="R36" i="21"/>
  <c r="S36" i="21" s="1"/>
  <c r="H37" i="21"/>
  <c r="J37" i="21" s="1"/>
  <c r="G37" i="21"/>
  <c r="D38" i="21"/>
  <c r="B39" i="21"/>
  <c r="M39" i="21"/>
  <c r="O39" i="21" s="1"/>
  <c r="U39" i="21"/>
  <c r="V39" i="21" s="1"/>
  <c r="T40" i="21"/>
  <c r="C40" i="21"/>
  <c r="N40" i="21"/>
  <c r="P38" i="21"/>
  <c r="L37" i="21"/>
  <c r="P37" i="21"/>
  <c r="U40" i="20"/>
  <c r="D39" i="20"/>
  <c r="B40" i="20"/>
  <c r="M40" i="20"/>
  <c r="G38" i="20"/>
  <c r="H38" i="20"/>
  <c r="J38" i="20" s="1"/>
  <c r="T40" i="20"/>
  <c r="V40" i="20" s="1"/>
  <c r="C40" i="20"/>
  <c r="N40" i="20"/>
  <c r="R37" i="20"/>
  <c r="S37" i="20" s="1"/>
  <c r="V39" i="20"/>
  <c r="L38" i="20"/>
  <c r="R34" i="19"/>
  <c r="S34" i="19" s="1"/>
  <c r="B37" i="19"/>
  <c r="M37" i="19"/>
  <c r="O37" i="19" s="1"/>
  <c r="P37" i="19" s="1"/>
  <c r="U37" i="19"/>
  <c r="D36" i="19"/>
  <c r="G35" i="19"/>
  <c r="I35" i="19" s="1"/>
  <c r="H35" i="19"/>
  <c r="J35" i="19" s="1"/>
  <c r="R35" i="19" s="1"/>
  <c r="S35" i="19" s="1"/>
  <c r="C38" i="19"/>
  <c r="N38" i="19"/>
  <c r="T38" i="19"/>
  <c r="V37" i="19"/>
  <c r="W37" i="19" s="1"/>
  <c r="X37" i="19" s="1"/>
  <c r="F38" i="19"/>
  <c r="L37" i="19"/>
  <c r="R35" i="18"/>
  <c r="S35" i="18" s="1"/>
  <c r="G36" i="18"/>
  <c r="I36" i="18" s="1"/>
  <c r="H36" i="18"/>
  <c r="R36" i="18" s="1"/>
  <c r="S36" i="18" s="1"/>
  <c r="O37" i="18"/>
  <c r="P37" i="18" s="1"/>
  <c r="B38" i="18"/>
  <c r="M38" i="18"/>
  <c r="U38" i="18"/>
  <c r="D37" i="18"/>
  <c r="C38" i="18"/>
  <c r="N38" i="18"/>
  <c r="T38" i="18"/>
  <c r="V38" i="18" s="1"/>
  <c r="W38" i="18" s="1"/>
  <c r="X38" i="18" s="1"/>
  <c r="L37" i="18"/>
  <c r="F38" i="18"/>
  <c r="V37" i="17"/>
  <c r="W37" i="17" s="1"/>
  <c r="X37" i="17" s="1"/>
  <c r="D37" i="17"/>
  <c r="B38" i="17"/>
  <c r="M38" i="17"/>
  <c r="U38" i="17"/>
  <c r="C38" i="17"/>
  <c r="N38" i="17"/>
  <c r="T38" i="17"/>
  <c r="V38" i="17" s="1"/>
  <c r="W38" i="17" s="1"/>
  <c r="X38" i="17" s="1"/>
  <c r="H36" i="17"/>
  <c r="J36" i="17" s="1"/>
  <c r="R36" i="17" s="1"/>
  <c r="S36" i="17" s="1"/>
  <c r="G36" i="17"/>
  <c r="I36" i="17" s="1"/>
  <c r="F39" i="17"/>
  <c r="T39" i="22" l="1"/>
  <c r="C39" i="22"/>
  <c r="N39" i="22"/>
  <c r="O38" i="22"/>
  <c r="P38" i="22" s="1"/>
  <c r="D38" i="22"/>
  <c r="B39" i="22"/>
  <c r="M39" i="22"/>
  <c r="O39" i="22" s="1"/>
  <c r="U39" i="22"/>
  <c r="F39" i="22"/>
  <c r="L38" i="22"/>
  <c r="H37" i="22"/>
  <c r="J37" i="22" s="1"/>
  <c r="R37" i="22" s="1"/>
  <c r="S37" i="22" s="1"/>
  <c r="G37" i="22"/>
  <c r="I37" i="22" s="1"/>
  <c r="W38" i="21"/>
  <c r="X38" i="21" s="1"/>
  <c r="T41" i="21"/>
  <c r="C41" i="21"/>
  <c r="N41" i="21"/>
  <c r="U40" i="21"/>
  <c r="V40" i="21" s="1"/>
  <c r="D39" i="21"/>
  <c r="B40" i="21"/>
  <c r="M40" i="21"/>
  <c r="O40" i="21" s="1"/>
  <c r="G38" i="21"/>
  <c r="H38" i="21"/>
  <c r="J38" i="21" s="1"/>
  <c r="P39" i="21"/>
  <c r="L38" i="21"/>
  <c r="R37" i="21"/>
  <c r="S37" i="21" s="1"/>
  <c r="R38" i="20"/>
  <c r="S38" i="20" s="1"/>
  <c r="T41" i="20"/>
  <c r="V41" i="20" s="1"/>
  <c r="C41" i="20"/>
  <c r="N41" i="20"/>
  <c r="O40" i="20"/>
  <c r="U41" i="20"/>
  <c r="D40" i="20"/>
  <c r="B41" i="20"/>
  <c r="M41" i="20"/>
  <c r="O41" i="20" s="1"/>
  <c r="L39" i="20"/>
  <c r="H39" i="20"/>
  <c r="J39" i="20" s="1"/>
  <c r="G39" i="20"/>
  <c r="W39" i="20"/>
  <c r="X39" i="20" s="1"/>
  <c r="P39" i="20"/>
  <c r="T39" i="19"/>
  <c r="C39" i="19"/>
  <c r="N39" i="19"/>
  <c r="H36" i="19"/>
  <c r="J36" i="19" s="1"/>
  <c r="G36" i="19"/>
  <c r="I36" i="19" s="1"/>
  <c r="L38" i="19"/>
  <c r="F39" i="19"/>
  <c r="B38" i="19"/>
  <c r="U38" i="19"/>
  <c r="V38" i="19" s="1"/>
  <c r="W38" i="19" s="1"/>
  <c r="X38" i="19" s="1"/>
  <c r="M38" i="19"/>
  <c r="O38" i="19" s="1"/>
  <c r="P38" i="19" s="1"/>
  <c r="D37" i="19"/>
  <c r="H37" i="18"/>
  <c r="G37" i="18"/>
  <c r="I37" i="18" s="1"/>
  <c r="R37" i="18" s="1"/>
  <c r="S37" i="18" s="1"/>
  <c r="L38" i="18"/>
  <c r="F39" i="18"/>
  <c r="O38" i="18"/>
  <c r="P38" i="18" s="1"/>
  <c r="D38" i="18"/>
  <c r="B39" i="18"/>
  <c r="M39" i="18"/>
  <c r="O39" i="18" s="1"/>
  <c r="P39" i="18" s="1"/>
  <c r="U39" i="18"/>
  <c r="T39" i="18"/>
  <c r="V39" i="18" s="1"/>
  <c r="W39" i="18" s="1"/>
  <c r="X39" i="18" s="1"/>
  <c r="C39" i="18"/>
  <c r="N39" i="18"/>
  <c r="T39" i="17"/>
  <c r="C39" i="17"/>
  <c r="N39" i="17"/>
  <c r="D38" i="17"/>
  <c r="B39" i="17"/>
  <c r="M39" i="17"/>
  <c r="O39" i="17" s="1"/>
  <c r="P39" i="17" s="1"/>
  <c r="U39" i="17"/>
  <c r="F40" i="17"/>
  <c r="O38" i="17"/>
  <c r="P38" i="17" s="1"/>
  <c r="H37" i="17"/>
  <c r="J37" i="17" s="1"/>
  <c r="R37" i="17" s="1"/>
  <c r="S37" i="17" s="1"/>
  <c r="G37" i="17"/>
  <c r="I37" i="17" s="1"/>
  <c r="U40" i="22" l="1"/>
  <c r="D39" i="22"/>
  <c r="B40" i="22"/>
  <c r="M40" i="22"/>
  <c r="G38" i="22"/>
  <c r="I38" i="22" s="1"/>
  <c r="H38" i="22"/>
  <c r="J38" i="22" s="1"/>
  <c r="R38" i="22" s="1"/>
  <c r="S38" i="22" s="1"/>
  <c r="F40" i="22"/>
  <c r="L39" i="22"/>
  <c r="T40" i="22"/>
  <c r="V40" i="22" s="1"/>
  <c r="W40" i="22" s="1"/>
  <c r="X40" i="22" s="1"/>
  <c r="C40" i="22"/>
  <c r="N40" i="22"/>
  <c r="P39" i="22"/>
  <c r="V39" i="22"/>
  <c r="W39" i="22" s="1"/>
  <c r="X39" i="22" s="1"/>
  <c r="R38" i="21"/>
  <c r="S38" i="21" s="1"/>
  <c r="U41" i="21"/>
  <c r="D40" i="21"/>
  <c r="B41" i="21"/>
  <c r="M41" i="21"/>
  <c r="O41" i="21" s="1"/>
  <c r="T42" i="21"/>
  <c r="C42" i="21"/>
  <c r="N42" i="21"/>
  <c r="V41" i="21"/>
  <c r="L39" i="21"/>
  <c r="W39" i="21"/>
  <c r="X39" i="21" s="1"/>
  <c r="H39" i="21"/>
  <c r="J39" i="21" s="1"/>
  <c r="G39" i="21"/>
  <c r="U42" i="20"/>
  <c r="D41" i="20"/>
  <c r="B42" i="20"/>
  <c r="M42" i="20"/>
  <c r="H40" i="20"/>
  <c r="J40" i="20" s="1"/>
  <c r="G40" i="20"/>
  <c r="L40" i="20"/>
  <c r="P40" i="20"/>
  <c r="P41" i="20"/>
  <c r="R39" i="20"/>
  <c r="S39" i="20" s="1"/>
  <c r="T42" i="20"/>
  <c r="V42" i="20" s="1"/>
  <c r="C42" i="20"/>
  <c r="N42" i="20"/>
  <c r="W40" i="20"/>
  <c r="X40" i="20" s="1"/>
  <c r="R36" i="19"/>
  <c r="S36" i="19" s="1"/>
  <c r="U39" i="19"/>
  <c r="M39" i="19"/>
  <c r="O39" i="19" s="1"/>
  <c r="P39" i="19" s="1"/>
  <c r="B39" i="19"/>
  <c r="D38" i="19"/>
  <c r="T40" i="19"/>
  <c r="C40" i="19"/>
  <c r="N40" i="19"/>
  <c r="L39" i="19"/>
  <c r="F40" i="19"/>
  <c r="H37" i="19"/>
  <c r="J37" i="19" s="1"/>
  <c r="G37" i="19"/>
  <c r="I37" i="19" s="1"/>
  <c r="V39" i="19"/>
  <c r="W39" i="19" s="1"/>
  <c r="X39" i="19" s="1"/>
  <c r="U40" i="18"/>
  <c r="D39" i="18"/>
  <c r="B40" i="18"/>
  <c r="M40" i="18"/>
  <c r="G38" i="18"/>
  <c r="I38" i="18" s="1"/>
  <c r="H38" i="18"/>
  <c r="C40" i="18"/>
  <c r="N40" i="18"/>
  <c r="T40" i="18"/>
  <c r="V40" i="18" s="1"/>
  <c r="W40" i="18" s="1"/>
  <c r="X40" i="18" s="1"/>
  <c r="R38" i="18"/>
  <c r="S38" i="18" s="1"/>
  <c r="F40" i="18"/>
  <c r="L39" i="18"/>
  <c r="U40" i="17"/>
  <c r="D39" i="17"/>
  <c r="B40" i="17"/>
  <c r="M40" i="17"/>
  <c r="O40" i="17" s="1"/>
  <c r="P40" i="17" s="1"/>
  <c r="G38" i="17"/>
  <c r="I38" i="17" s="1"/>
  <c r="H38" i="17"/>
  <c r="J38" i="17" s="1"/>
  <c r="R38" i="17" s="1"/>
  <c r="S38" i="17" s="1"/>
  <c r="F41" i="17"/>
  <c r="T40" i="17"/>
  <c r="V40" i="17" s="1"/>
  <c r="W40" i="17" s="1"/>
  <c r="X40" i="17" s="1"/>
  <c r="C40" i="17"/>
  <c r="N40" i="17"/>
  <c r="V39" i="17"/>
  <c r="W39" i="17" s="1"/>
  <c r="X39" i="17" s="1"/>
  <c r="F41" i="22" l="1"/>
  <c r="L40" i="22"/>
  <c r="O40" i="22"/>
  <c r="P40" i="22" s="1"/>
  <c r="U41" i="22"/>
  <c r="D40" i="22"/>
  <c r="B41" i="22"/>
  <c r="M41" i="22"/>
  <c r="H39" i="22"/>
  <c r="J39" i="22" s="1"/>
  <c r="R39" i="22" s="1"/>
  <c r="S39" i="22" s="1"/>
  <c r="G39" i="22"/>
  <c r="I39" i="22" s="1"/>
  <c r="T41" i="22"/>
  <c r="V41" i="22" s="1"/>
  <c r="W41" i="22" s="1"/>
  <c r="X41" i="22" s="1"/>
  <c r="C41" i="22"/>
  <c r="N41" i="22"/>
  <c r="R39" i="21"/>
  <c r="S39" i="21" s="1"/>
  <c r="T43" i="21"/>
  <c r="C43" i="21"/>
  <c r="N43" i="21"/>
  <c r="L40" i="21"/>
  <c r="P41" i="21"/>
  <c r="U42" i="21"/>
  <c r="V42" i="21" s="1"/>
  <c r="D41" i="21"/>
  <c r="B42" i="21"/>
  <c r="M42" i="21"/>
  <c r="O42" i="21" s="1"/>
  <c r="H40" i="21"/>
  <c r="J40" i="21" s="1"/>
  <c r="G40" i="21"/>
  <c r="P40" i="21"/>
  <c r="W40" i="21"/>
  <c r="X40" i="21" s="1"/>
  <c r="R40" i="20"/>
  <c r="S40" i="20" s="1"/>
  <c r="W42" i="20"/>
  <c r="X42" i="20" s="1"/>
  <c r="L41" i="20"/>
  <c r="O42" i="20"/>
  <c r="P42" i="20" s="1"/>
  <c r="W41" i="20"/>
  <c r="X41" i="20" s="1"/>
  <c r="U43" i="20"/>
  <c r="D42" i="20"/>
  <c r="M43" i="20"/>
  <c r="O43" i="20" s="1"/>
  <c r="B43" i="20"/>
  <c r="H41" i="20"/>
  <c r="J41" i="20" s="1"/>
  <c r="G41" i="20"/>
  <c r="T43" i="20"/>
  <c r="N43" i="20"/>
  <c r="C43" i="20"/>
  <c r="R37" i="19"/>
  <c r="S37" i="19" s="1"/>
  <c r="C41" i="19"/>
  <c r="T41" i="19"/>
  <c r="N41" i="19"/>
  <c r="F41" i="19"/>
  <c r="L40" i="19"/>
  <c r="G38" i="19"/>
  <c r="I38" i="19" s="1"/>
  <c r="H38" i="19"/>
  <c r="J38" i="19" s="1"/>
  <c r="R38" i="19" s="1"/>
  <c r="S38" i="19" s="1"/>
  <c r="U40" i="19"/>
  <c r="V40" i="19" s="1"/>
  <c r="W40" i="19" s="1"/>
  <c r="X40" i="19" s="1"/>
  <c r="D39" i="19"/>
  <c r="M40" i="19"/>
  <c r="O40" i="19" s="1"/>
  <c r="P40" i="19" s="1"/>
  <c r="B40" i="19"/>
  <c r="C41" i="18"/>
  <c r="T41" i="18"/>
  <c r="N41" i="18"/>
  <c r="O40" i="18"/>
  <c r="P40" i="18" s="1"/>
  <c r="D40" i="18"/>
  <c r="B41" i="18"/>
  <c r="U41" i="18"/>
  <c r="M41" i="18"/>
  <c r="O41" i="18" s="1"/>
  <c r="P41" i="18" s="1"/>
  <c r="H39" i="18"/>
  <c r="G39" i="18"/>
  <c r="I39" i="18" s="1"/>
  <c r="F41" i="18"/>
  <c r="L40" i="18"/>
  <c r="T41" i="17"/>
  <c r="C41" i="17"/>
  <c r="N41" i="17"/>
  <c r="U41" i="17"/>
  <c r="D40" i="17"/>
  <c r="B41" i="17"/>
  <c r="M41" i="17"/>
  <c r="O41" i="17" s="1"/>
  <c r="P41" i="17" s="1"/>
  <c r="H39" i="17"/>
  <c r="J39" i="17" s="1"/>
  <c r="G39" i="17"/>
  <c r="I39" i="17" s="1"/>
  <c r="F42" i="17"/>
  <c r="O41" i="22" l="1"/>
  <c r="P41" i="22" s="1"/>
  <c r="T42" i="22"/>
  <c r="C42" i="22"/>
  <c r="N42" i="22"/>
  <c r="H40" i="22"/>
  <c r="J40" i="22" s="1"/>
  <c r="R40" i="22" s="1"/>
  <c r="S40" i="22" s="1"/>
  <c r="G40" i="22"/>
  <c r="I40" i="22" s="1"/>
  <c r="U42" i="22"/>
  <c r="D41" i="22"/>
  <c r="B42" i="22"/>
  <c r="M42" i="22"/>
  <c r="O42" i="22" s="1"/>
  <c r="F42" i="22"/>
  <c r="L41" i="22"/>
  <c r="H41" i="21"/>
  <c r="J41" i="21" s="1"/>
  <c r="G41" i="21"/>
  <c r="L41" i="21"/>
  <c r="R41" i="21" s="1"/>
  <c r="S41" i="21" s="1"/>
  <c r="P42" i="21"/>
  <c r="R40" i="21"/>
  <c r="S40" i="21" s="1"/>
  <c r="T44" i="21"/>
  <c r="N44" i="21"/>
  <c r="C44" i="21"/>
  <c r="V43" i="21"/>
  <c r="U43" i="21"/>
  <c r="D42" i="21"/>
  <c r="M43" i="21"/>
  <c r="O43" i="21" s="1"/>
  <c r="B43" i="21"/>
  <c r="W41" i="21"/>
  <c r="X41" i="21" s="1"/>
  <c r="R41" i="20"/>
  <c r="S41" i="20" s="1"/>
  <c r="H42" i="20"/>
  <c r="J42" i="20" s="1"/>
  <c r="G42" i="20"/>
  <c r="T44" i="20"/>
  <c r="N44" i="20"/>
  <c r="C44" i="20"/>
  <c r="V43" i="20"/>
  <c r="L42" i="20"/>
  <c r="M44" i="20"/>
  <c r="O44" i="20" s="1"/>
  <c r="U44" i="20"/>
  <c r="D43" i="20"/>
  <c r="B44" i="20"/>
  <c r="D40" i="19"/>
  <c r="M41" i="19"/>
  <c r="O41" i="19" s="1"/>
  <c r="P41" i="19" s="1"/>
  <c r="U41" i="19"/>
  <c r="B41" i="19"/>
  <c r="F42" i="19"/>
  <c r="L41" i="19"/>
  <c r="H39" i="19"/>
  <c r="J39" i="19" s="1"/>
  <c r="G39" i="19"/>
  <c r="I39" i="19" s="1"/>
  <c r="V41" i="19"/>
  <c r="W41" i="19" s="1"/>
  <c r="X41" i="19" s="1"/>
  <c r="N42" i="19"/>
  <c r="C42" i="19"/>
  <c r="T42" i="19"/>
  <c r="R39" i="18"/>
  <c r="S39" i="18" s="1"/>
  <c r="D41" i="18"/>
  <c r="M42" i="18"/>
  <c r="O42" i="18" s="1"/>
  <c r="B42" i="18"/>
  <c r="U42" i="18"/>
  <c r="H40" i="18"/>
  <c r="G40" i="18"/>
  <c r="I40" i="18" s="1"/>
  <c r="R40" i="18" s="1"/>
  <c r="S40" i="18" s="1"/>
  <c r="F42" i="18"/>
  <c r="L41" i="18"/>
  <c r="V41" i="18"/>
  <c r="W41" i="18" s="1"/>
  <c r="X41" i="18" s="1"/>
  <c r="T42" i="18"/>
  <c r="V42" i="18" s="1"/>
  <c r="W42" i="18" s="1"/>
  <c r="X42" i="18" s="1"/>
  <c r="C42" i="18"/>
  <c r="N42" i="18"/>
  <c r="U42" i="17"/>
  <c r="D41" i="17"/>
  <c r="B42" i="17"/>
  <c r="M42" i="17"/>
  <c r="R39" i="17"/>
  <c r="S39" i="17" s="1"/>
  <c r="T42" i="17"/>
  <c r="V42" i="17" s="1"/>
  <c r="W42" i="17" s="1"/>
  <c r="X42" i="17" s="1"/>
  <c r="C42" i="17"/>
  <c r="N42" i="17"/>
  <c r="F43" i="17"/>
  <c r="H40" i="17"/>
  <c r="J40" i="17" s="1"/>
  <c r="R40" i="17" s="1"/>
  <c r="S40" i="17" s="1"/>
  <c r="G40" i="17"/>
  <c r="I40" i="17" s="1"/>
  <c r="V41" i="17"/>
  <c r="W41" i="17" s="1"/>
  <c r="X41" i="17" s="1"/>
  <c r="F43" i="22" l="1"/>
  <c r="L42" i="22"/>
  <c r="P42" i="22"/>
  <c r="U43" i="22"/>
  <c r="D42" i="22"/>
  <c r="B43" i="22"/>
  <c r="M43" i="22"/>
  <c r="T43" i="22"/>
  <c r="V43" i="22" s="1"/>
  <c r="W43" i="22" s="1"/>
  <c r="X43" i="22" s="1"/>
  <c r="C43" i="22"/>
  <c r="N43" i="22"/>
  <c r="H41" i="22"/>
  <c r="J41" i="22" s="1"/>
  <c r="R41" i="22" s="1"/>
  <c r="S41" i="22" s="1"/>
  <c r="G41" i="22"/>
  <c r="I41" i="22" s="1"/>
  <c r="V42" i="22"/>
  <c r="W42" i="22" s="1"/>
  <c r="X42" i="22" s="1"/>
  <c r="N45" i="21"/>
  <c r="T45" i="21"/>
  <c r="C45" i="21"/>
  <c r="L42" i="21"/>
  <c r="W43" i="21"/>
  <c r="X43" i="21" s="1"/>
  <c r="M44" i="21"/>
  <c r="O44" i="21" s="1"/>
  <c r="U44" i="21"/>
  <c r="D43" i="21"/>
  <c r="B44" i="21"/>
  <c r="V44" i="21"/>
  <c r="H42" i="21"/>
  <c r="J42" i="21" s="1"/>
  <c r="G42" i="21"/>
  <c r="W42" i="21"/>
  <c r="X42" i="21" s="1"/>
  <c r="R42" i="20"/>
  <c r="S42" i="20" s="1"/>
  <c r="V44" i="20"/>
  <c r="L43" i="20"/>
  <c r="P44" i="20"/>
  <c r="W43" i="20"/>
  <c r="X43" i="20" s="1"/>
  <c r="P43" i="20"/>
  <c r="N45" i="20"/>
  <c r="T45" i="20"/>
  <c r="C45" i="20"/>
  <c r="B45" i="20"/>
  <c r="M45" i="20"/>
  <c r="O45" i="20" s="1"/>
  <c r="U45" i="20"/>
  <c r="D44" i="20"/>
  <c r="H43" i="20"/>
  <c r="J43" i="20" s="1"/>
  <c r="G43" i="20"/>
  <c r="R39" i="19"/>
  <c r="S39" i="19" s="1"/>
  <c r="L42" i="19"/>
  <c r="F43" i="19"/>
  <c r="T43" i="19"/>
  <c r="C43" i="19"/>
  <c r="N43" i="19"/>
  <c r="B42" i="19"/>
  <c r="M42" i="19"/>
  <c r="O42" i="19" s="1"/>
  <c r="P42" i="19" s="1"/>
  <c r="U42" i="19"/>
  <c r="D41" i="19"/>
  <c r="V42" i="19"/>
  <c r="W42" i="19" s="1"/>
  <c r="X42" i="19" s="1"/>
  <c r="H40" i="19"/>
  <c r="J40" i="19" s="1"/>
  <c r="R40" i="19" s="1"/>
  <c r="S40" i="19" s="1"/>
  <c r="G40" i="19"/>
  <c r="I40" i="19" s="1"/>
  <c r="U43" i="18"/>
  <c r="D42" i="18"/>
  <c r="B43" i="18"/>
  <c r="M43" i="18"/>
  <c r="P42" i="18"/>
  <c r="G41" i="18"/>
  <c r="I41" i="18" s="1"/>
  <c r="H41" i="18"/>
  <c r="R41" i="18" s="1"/>
  <c r="S41" i="18" s="1"/>
  <c r="F43" i="18"/>
  <c r="L42" i="18"/>
  <c r="T43" i="18"/>
  <c r="V43" i="18" s="1"/>
  <c r="W43" i="18" s="1"/>
  <c r="X43" i="18" s="1"/>
  <c r="N43" i="18"/>
  <c r="C43" i="18"/>
  <c r="O42" i="17"/>
  <c r="P42" i="17" s="1"/>
  <c r="F44" i="17"/>
  <c r="T43" i="17"/>
  <c r="V43" i="17" s="1"/>
  <c r="W43" i="17" s="1"/>
  <c r="X43" i="17" s="1"/>
  <c r="C43" i="17"/>
  <c r="N43" i="17"/>
  <c r="U43" i="17"/>
  <c r="D42" i="17"/>
  <c r="B43" i="17"/>
  <c r="M43" i="17"/>
  <c r="O43" i="17" s="1"/>
  <c r="P43" i="17" s="1"/>
  <c r="H41" i="17"/>
  <c r="J41" i="17" s="1"/>
  <c r="R41" i="17" s="1"/>
  <c r="S41" i="17" s="1"/>
  <c r="G41" i="17"/>
  <c r="I41" i="17" s="1"/>
  <c r="M44" i="22" l="1"/>
  <c r="U44" i="22"/>
  <c r="D43" i="22"/>
  <c r="B44" i="22"/>
  <c r="H42" i="22"/>
  <c r="J42" i="22" s="1"/>
  <c r="G42" i="22"/>
  <c r="I42" i="22" s="1"/>
  <c r="T44" i="22"/>
  <c r="V44" i="22" s="1"/>
  <c r="W44" i="22" s="1"/>
  <c r="X44" i="22" s="1"/>
  <c r="C44" i="22"/>
  <c r="N44" i="22"/>
  <c r="R42" i="22"/>
  <c r="S42" i="22" s="1"/>
  <c r="O43" i="22"/>
  <c r="P43" i="22" s="1"/>
  <c r="L43" i="22"/>
  <c r="F44" i="22"/>
  <c r="R42" i="21"/>
  <c r="S42" i="21" s="1"/>
  <c r="H43" i="21"/>
  <c r="J43" i="21" s="1"/>
  <c r="G43" i="21"/>
  <c r="L43" i="21"/>
  <c r="C46" i="21"/>
  <c r="N46" i="21"/>
  <c r="T46" i="21"/>
  <c r="W44" i="21"/>
  <c r="X44" i="21" s="1"/>
  <c r="V45" i="21"/>
  <c r="B45" i="21"/>
  <c r="M45" i="21"/>
  <c r="O45" i="21" s="1"/>
  <c r="U45" i="21"/>
  <c r="D44" i="21"/>
  <c r="P43" i="21"/>
  <c r="R43" i="20"/>
  <c r="S43" i="20" s="1"/>
  <c r="C46" i="20"/>
  <c r="N46" i="20"/>
  <c r="T46" i="20"/>
  <c r="V45" i="20"/>
  <c r="L44" i="20"/>
  <c r="B46" i="20"/>
  <c r="M46" i="20"/>
  <c r="O46" i="20" s="1"/>
  <c r="U46" i="20"/>
  <c r="D45" i="20"/>
  <c r="H44" i="20"/>
  <c r="J44" i="20" s="1"/>
  <c r="G44" i="20"/>
  <c r="W44" i="20"/>
  <c r="X44" i="20" s="1"/>
  <c r="B43" i="19"/>
  <c r="U43" i="19"/>
  <c r="D42" i="19"/>
  <c r="M43" i="19"/>
  <c r="O43" i="19" s="1"/>
  <c r="P43" i="19" s="1"/>
  <c r="T44" i="19"/>
  <c r="C44" i="19"/>
  <c r="N44" i="19"/>
  <c r="V43" i="19"/>
  <c r="W43" i="19" s="1"/>
  <c r="X43" i="19" s="1"/>
  <c r="L43" i="19"/>
  <c r="F44" i="19"/>
  <c r="H41" i="19"/>
  <c r="J41" i="19" s="1"/>
  <c r="G41" i="19"/>
  <c r="I41" i="19" s="1"/>
  <c r="O43" i="18"/>
  <c r="P43" i="18" s="1"/>
  <c r="M44" i="18"/>
  <c r="O44" i="18" s="1"/>
  <c r="U44" i="18"/>
  <c r="B44" i="18"/>
  <c r="D43" i="18"/>
  <c r="H42" i="18"/>
  <c r="G42" i="18"/>
  <c r="I42" i="18" s="1"/>
  <c r="L43" i="18"/>
  <c r="F44" i="18"/>
  <c r="T44" i="18"/>
  <c r="V44" i="18" s="1"/>
  <c r="W44" i="18" s="1"/>
  <c r="X44" i="18" s="1"/>
  <c r="C44" i="18"/>
  <c r="N44" i="18"/>
  <c r="H42" i="17"/>
  <c r="J42" i="17" s="1"/>
  <c r="G42" i="17"/>
  <c r="I42" i="17" s="1"/>
  <c r="R42" i="17" s="1"/>
  <c r="S42" i="17" s="1"/>
  <c r="F45" i="17"/>
  <c r="M44" i="17"/>
  <c r="U44" i="17"/>
  <c r="D43" i="17"/>
  <c r="B44" i="17"/>
  <c r="T44" i="17"/>
  <c r="V44" i="17" s="1"/>
  <c r="W44" i="17" s="1"/>
  <c r="X44" i="17" s="1"/>
  <c r="C44" i="17"/>
  <c r="N44" i="17"/>
  <c r="B45" i="22" l="1"/>
  <c r="M45" i="22"/>
  <c r="U45" i="22"/>
  <c r="D44" i="22"/>
  <c r="H43" i="22"/>
  <c r="J43" i="22" s="1"/>
  <c r="G43" i="22"/>
  <c r="I43" i="22" s="1"/>
  <c r="N45" i="22"/>
  <c r="T45" i="22"/>
  <c r="V45" i="22" s="1"/>
  <c r="C45" i="22"/>
  <c r="L44" i="22"/>
  <c r="F45" i="22"/>
  <c r="O44" i="22"/>
  <c r="P44" i="22" s="1"/>
  <c r="C47" i="21"/>
  <c r="N47" i="21"/>
  <c r="T47" i="21"/>
  <c r="L44" i="21"/>
  <c r="R43" i="21"/>
  <c r="S43" i="21" s="1"/>
  <c r="B46" i="21"/>
  <c r="M46" i="21"/>
  <c r="O46" i="21" s="1"/>
  <c r="U46" i="21"/>
  <c r="V46" i="21" s="1"/>
  <c r="D45" i="21"/>
  <c r="H44" i="21"/>
  <c r="J44" i="21" s="1"/>
  <c r="G44" i="21"/>
  <c r="P44" i="21"/>
  <c r="R44" i="20"/>
  <c r="S44" i="20" s="1"/>
  <c r="W45" i="20"/>
  <c r="X45" i="20" s="1"/>
  <c r="B47" i="20"/>
  <c r="M47" i="20"/>
  <c r="U47" i="20"/>
  <c r="D46" i="20"/>
  <c r="L45" i="20"/>
  <c r="H45" i="20"/>
  <c r="J45" i="20" s="1"/>
  <c r="G45" i="20"/>
  <c r="V46" i="20"/>
  <c r="W46" i="20" s="1"/>
  <c r="X46" i="20" s="1"/>
  <c r="C47" i="20"/>
  <c r="N47" i="20"/>
  <c r="T47" i="20"/>
  <c r="V47" i="20" s="1"/>
  <c r="P45" i="20"/>
  <c r="R41" i="19"/>
  <c r="S41" i="19" s="1"/>
  <c r="N45" i="19"/>
  <c r="T45" i="19"/>
  <c r="C45" i="19"/>
  <c r="G42" i="19"/>
  <c r="I42" i="19" s="1"/>
  <c r="H42" i="19"/>
  <c r="J42" i="19" s="1"/>
  <c r="R42" i="19" s="1"/>
  <c r="S42" i="19" s="1"/>
  <c r="L44" i="19"/>
  <c r="F45" i="19"/>
  <c r="M44" i="19"/>
  <c r="O44" i="19" s="1"/>
  <c r="P44" i="19" s="1"/>
  <c r="U44" i="19"/>
  <c r="V44" i="19" s="1"/>
  <c r="W44" i="19" s="1"/>
  <c r="X44" i="19" s="1"/>
  <c r="B44" i="19"/>
  <c r="D43" i="19"/>
  <c r="R42" i="18"/>
  <c r="S42" i="18" s="1"/>
  <c r="L44" i="18"/>
  <c r="F45" i="18"/>
  <c r="H43" i="18"/>
  <c r="G43" i="18"/>
  <c r="I43" i="18" s="1"/>
  <c r="B45" i="18"/>
  <c r="U45" i="18"/>
  <c r="M45" i="18"/>
  <c r="D44" i="18"/>
  <c r="N45" i="18"/>
  <c r="T45" i="18"/>
  <c r="V45" i="18" s="1"/>
  <c r="W45" i="18" s="1"/>
  <c r="X45" i="18" s="1"/>
  <c r="C45" i="18"/>
  <c r="P44" i="18"/>
  <c r="O44" i="17"/>
  <c r="P44" i="17" s="1"/>
  <c r="B45" i="17"/>
  <c r="M45" i="17"/>
  <c r="U45" i="17"/>
  <c r="D44" i="17"/>
  <c r="F46" i="17"/>
  <c r="N45" i="17"/>
  <c r="T45" i="17"/>
  <c r="V45" i="17" s="1"/>
  <c r="W45" i="17" s="1"/>
  <c r="X45" i="17" s="1"/>
  <c r="C45" i="17"/>
  <c r="H43" i="17"/>
  <c r="J43" i="17" s="1"/>
  <c r="R43" i="17" s="1"/>
  <c r="S43" i="17" s="1"/>
  <c r="G43" i="17"/>
  <c r="I43" i="17" s="1"/>
  <c r="W45" i="22" l="1"/>
  <c r="X45" i="22" s="1"/>
  <c r="R43" i="22"/>
  <c r="S43" i="22" s="1"/>
  <c r="L45" i="22"/>
  <c r="F46" i="22"/>
  <c r="H44" i="22"/>
  <c r="J44" i="22" s="1"/>
  <c r="G44" i="22"/>
  <c r="I44" i="22" s="1"/>
  <c r="C46" i="22"/>
  <c r="N46" i="22"/>
  <c r="T46" i="22"/>
  <c r="O45" i="22"/>
  <c r="P45" i="22" s="1"/>
  <c r="R44" i="22"/>
  <c r="S44" i="22" s="1"/>
  <c r="B46" i="22"/>
  <c r="M46" i="22"/>
  <c r="O46" i="22" s="1"/>
  <c r="U46" i="22"/>
  <c r="D45" i="22"/>
  <c r="L45" i="21"/>
  <c r="R44" i="21"/>
  <c r="S44" i="21" s="1"/>
  <c r="P46" i="21"/>
  <c r="C48" i="21"/>
  <c r="N48" i="21"/>
  <c r="T48" i="21"/>
  <c r="B47" i="21"/>
  <c r="M47" i="21"/>
  <c r="O47" i="21" s="1"/>
  <c r="U47" i="21"/>
  <c r="V47" i="21" s="1"/>
  <c r="D46" i="21"/>
  <c r="W45" i="21"/>
  <c r="X45" i="21" s="1"/>
  <c r="H45" i="21"/>
  <c r="J45" i="21" s="1"/>
  <c r="G45" i="21"/>
  <c r="P45" i="21"/>
  <c r="L46" i="20"/>
  <c r="H46" i="20"/>
  <c r="J46" i="20" s="1"/>
  <c r="G46" i="20"/>
  <c r="O47" i="20"/>
  <c r="C48" i="20"/>
  <c r="N48" i="20"/>
  <c r="T48" i="20"/>
  <c r="V48" i="20" s="1"/>
  <c r="R45" i="20"/>
  <c r="S45" i="20" s="1"/>
  <c r="D47" i="20"/>
  <c r="B48" i="20"/>
  <c r="M48" i="20"/>
  <c r="O48" i="20" s="1"/>
  <c r="U48" i="20"/>
  <c r="W47" i="20"/>
  <c r="X47" i="20" s="1"/>
  <c r="P46" i="20"/>
  <c r="F46" i="19"/>
  <c r="L45" i="19"/>
  <c r="C46" i="19"/>
  <c r="N46" i="19"/>
  <c r="T46" i="19"/>
  <c r="B45" i="19"/>
  <c r="M45" i="19"/>
  <c r="O45" i="19" s="1"/>
  <c r="P45" i="19" s="1"/>
  <c r="U45" i="19"/>
  <c r="V45" i="19" s="1"/>
  <c r="W45" i="19" s="1"/>
  <c r="X45" i="19" s="1"/>
  <c r="D44" i="19"/>
  <c r="H43" i="19"/>
  <c r="J43" i="19" s="1"/>
  <c r="G43" i="19"/>
  <c r="I43" i="19" s="1"/>
  <c r="R43" i="18"/>
  <c r="S43" i="18" s="1"/>
  <c r="O45" i="18"/>
  <c r="P45" i="18" s="1"/>
  <c r="C46" i="18"/>
  <c r="T46" i="18"/>
  <c r="N46" i="18"/>
  <c r="U46" i="18"/>
  <c r="D45" i="18"/>
  <c r="M46" i="18"/>
  <c r="O46" i="18" s="1"/>
  <c r="B46" i="18"/>
  <c r="H44" i="18"/>
  <c r="R44" i="18" s="1"/>
  <c r="S44" i="18" s="1"/>
  <c r="G44" i="18"/>
  <c r="I44" i="18" s="1"/>
  <c r="F46" i="18"/>
  <c r="L45" i="18"/>
  <c r="H44" i="17"/>
  <c r="J44" i="17" s="1"/>
  <c r="G44" i="17"/>
  <c r="I44" i="17" s="1"/>
  <c r="R44" i="17" s="1"/>
  <c r="S44" i="17" s="1"/>
  <c r="F47" i="17"/>
  <c r="O45" i="17"/>
  <c r="P45" i="17" s="1"/>
  <c r="B46" i="17"/>
  <c r="M46" i="17"/>
  <c r="U46" i="17"/>
  <c r="D45" i="17"/>
  <c r="C46" i="17"/>
  <c r="N46" i="17"/>
  <c r="T46" i="17"/>
  <c r="V46" i="17" s="1"/>
  <c r="W46" i="17" s="1"/>
  <c r="X46" i="17" s="1"/>
  <c r="P46" i="22" l="1"/>
  <c r="B47" i="22"/>
  <c r="M47" i="22"/>
  <c r="U47" i="22"/>
  <c r="D46" i="22"/>
  <c r="C47" i="22"/>
  <c r="N47" i="22"/>
  <c r="T47" i="22"/>
  <c r="V47" i="22" s="1"/>
  <c r="R45" i="22"/>
  <c r="S45" i="22" s="1"/>
  <c r="L46" i="22"/>
  <c r="F47" i="22"/>
  <c r="V46" i="22"/>
  <c r="W46" i="22" s="1"/>
  <c r="X46" i="22" s="1"/>
  <c r="H45" i="22"/>
  <c r="J45" i="22" s="1"/>
  <c r="G45" i="22"/>
  <c r="I45" i="22" s="1"/>
  <c r="C49" i="21"/>
  <c r="N49" i="21"/>
  <c r="T49" i="21"/>
  <c r="D47" i="21"/>
  <c r="B48" i="21"/>
  <c r="M48" i="21"/>
  <c r="O48" i="21" s="1"/>
  <c r="U48" i="21"/>
  <c r="V48" i="21" s="1"/>
  <c r="R45" i="21"/>
  <c r="S45" i="21" s="1"/>
  <c r="L46" i="21"/>
  <c r="P47" i="21"/>
  <c r="H46" i="21"/>
  <c r="J46" i="21" s="1"/>
  <c r="G46" i="21"/>
  <c r="W46" i="21"/>
  <c r="X46" i="21" s="1"/>
  <c r="P47" i="20"/>
  <c r="R46" i="20"/>
  <c r="S46" i="20" s="1"/>
  <c r="C49" i="20"/>
  <c r="N49" i="20"/>
  <c r="T49" i="20"/>
  <c r="D48" i="20"/>
  <c r="B49" i="20"/>
  <c r="M49" i="20"/>
  <c r="O49" i="20" s="1"/>
  <c r="U49" i="20"/>
  <c r="L47" i="20"/>
  <c r="P48" i="20"/>
  <c r="H47" i="20"/>
  <c r="J47" i="20" s="1"/>
  <c r="G47" i="20"/>
  <c r="R43" i="19"/>
  <c r="S43" i="19" s="1"/>
  <c r="H44" i="19"/>
  <c r="J44" i="19" s="1"/>
  <c r="G44" i="19"/>
  <c r="I44" i="19" s="1"/>
  <c r="B46" i="19"/>
  <c r="M46" i="19"/>
  <c r="O46" i="19" s="1"/>
  <c r="P46" i="19" s="1"/>
  <c r="U46" i="19"/>
  <c r="V46" i="19" s="1"/>
  <c r="W46" i="19" s="1"/>
  <c r="X46" i="19" s="1"/>
  <c r="D45" i="19"/>
  <c r="C47" i="19"/>
  <c r="N47" i="19"/>
  <c r="T47" i="19"/>
  <c r="F47" i="19"/>
  <c r="L46" i="19"/>
  <c r="L46" i="18"/>
  <c r="F47" i="18"/>
  <c r="H45" i="18"/>
  <c r="G45" i="18"/>
  <c r="I45" i="18" s="1"/>
  <c r="V46" i="18"/>
  <c r="W46" i="18" s="1"/>
  <c r="X46" i="18" s="1"/>
  <c r="M47" i="18"/>
  <c r="U47" i="18"/>
  <c r="D46" i="18"/>
  <c r="B47" i="18"/>
  <c r="N47" i="18"/>
  <c r="C47" i="18"/>
  <c r="T47" i="18"/>
  <c r="V47" i="18" s="1"/>
  <c r="W47" i="18" s="1"/>
  <c r="X47" i="18" s="1"/>
  <c r="P46" i="18"/>
  <c r="B47" i="17"/>
  <c r="M47" i="17"/>
  <c r="U47" i="17"/>
  <c r="D46" i="17"/>
  <c r="F48" i="17"/>
  <c r="H45" i="17"/>
  <c r="J45" i="17" s="1"/>
  <c r="R45" i="17" s="1"/>
  <c r="S45" i="17" s="1"/>
  <c r="G45" i="17"/>
  <c r="I45" i="17" s="1"/>
  <c r="C47" i="17"/>
  <c r="N47" i="17"/>
  <c r="T47" i="17"/>
  <c r="V47" i="17" s="1"/>
  <c r="W47" i="17" s="1"/>
  <c r="X47" i="17" s="1"/>
  <c r="O46" i="17"/>
  <c r="P46" i="17" s="1"/>
  <c r="L47" i="22" l="1"/>
  <c r="F48" i="22"/>
  <c r="C48" i="22"/>
  <c r="N48" i="22"/>
  <c r="T48" i="22"/>
  <c r="V48" i="22" s="1"/>
  <c r="W48" i="22" s="1"/>
  <c r="X48" i="22" s="1"/>
  <c r="H46" i="22"/>
  <c r="J46" i="22" s="1"/>
  <c r="R46" i="22" s="1"/>
  <c r="S46" i="22" s="1"/>
  <c r="G46" i="22"/>
  <c r="I46" i="22" s="1"/>
  <c r="O47" i="22"/>
  <c r="P47" i="22" s="1"/>
  <c r="D47" i="22"/>
  <c r="B48" i="22"/>
  <c r="M48" i="22"/>
  <c r="O48" i="22" s="1"/>
  <c r="P48" i="22" s="1"/>
  <c r="U48" i="22"/>
  <c r="W47" i="22"/>
  <c r="X47" i="22" s="1"/>
  <c r="R46" i="21"/>
  <c r="S46" i="21" s="1"/>
  <c r="D48" i="21"/>
  <c r="B49" i="21"/>
  <c r="M49" i="21"/>
  <c r="O49" i="21" s="1"/>
  <c r="U49" i="21"/>
  <c r="H47" i="21"/>
  <c r="J47" i="21" s="1"/>
  <c r="G47" i="21"/>
  <c r="V49" i="21"/>
  <c r="C50" i="21"/>
  <c r="N50" i="21"/>
  <c r="T50" i="21"/>
  <c r="L47" i="21"/>
  <c r="W47" i="21"/>
  <c r="X47" i="21" s="1"/>
  <c r="R47" i="20"/>
  <c r="S47" i="20" s="1"/>
  <c r="P49" i="20"/>
  <c r="L48" i="20"/>
  <c r="D49" i="20"/>
  <c r="B50" i="20"/>
  <c r="M50" i="20"/>
  <c r="O50" i="20" s="1"/>
  <c r="U50" i="20"/>
  <c r="W48" i="20"/>
  <c r="X48" i="20" s="1"/>
  <c r="H48" i="20"/>
  <c r="J48" i="20" s="1"/>
  <c r="G48" i="20"/>
  <c r="V49" i="20"/>
  <c r="W49" i="20" s="1"/>
  <c r="X49" i="20" s="1"/>
  <c r="C50" i="20"/>
  <c r="N50" i="20"/>
  <c r="T50" i="20"/>
  <c r="R44" i="19"/>
  <c r="S44" i="19" s="1"/>
  <c r="C48" i="19"/>
  <c r="N48" i="19"/>
  <c r="T48" i="19"/>
  <c r="H45" i="19"/>
  <c r="J45" i="19" s="1"/>
  <c r="G45" i="19"/>
  <c r="I45" i="19" s="1"/>
  <c r="L47" i="19"/>
  <c r="F48" i="19"/>
  <c r="B47" i="19"/>
  <c r="M47" i="19"/>
  <c r="O47" i="19" s="1"/>
  <c r="P47" i="19" s="1"/>
  <c r="U47" i="19"/>
  <c r="V47" i="19" s="1"/>
  <c r="W47" i="19" s="1"/>
  <c r="X47" i="19" s="1"/>
  <c r="D46" i="19"/>
  <c r="R45" i="18"/>
  <c r="S45" i="18" s="1"/>
  <c r="O47" i="18"/>
  <c r="P47" i="18" s="1"/>
  <c r="D47" i="18"/>
  <c r="B48" i="18"/>
  <c r="M48" i="18"/>
  <c r="U48" i="18"/>
  <c r="H46" i="18"/>
  <c r="G46" i="18"/>
  <c r="I46" i="18" s="1"/>
  <c r="L47" i="18"/>
  <c r="F48" i="18"/>
  <c r="N48" i="18"/>
  <c r="T48" i="18"/>
  <c r="V48" i="18" s="1"/>
  <c r="W48" i="18" s="1"/>
  <c r="X48" i="18" s="1"/>
  <c r="C48" i="18"/>
  <c r="H46" i="17"/>
  <c r="J46" i="17" s="1"/>
  <c r="G46" i="17"/>
  <c r="I46" i="17" s="1"/>
  <c r="F49" i="17"/>
  <c r="O47" i="17"/>
  <c r="P47" i="17" s="1"/>
  <c r="C48" i="17"/>
  <c r="N48" i="17"/>
  <c r="T48" i="17"/>
  <c r="V48" i="17" s="1"/>
  <c r="W48" i="17" s="1"/>
  <c r="X48" i="17" s="1"/>
  <c r="R46" i="17"/>
  <c r="S46" i="17" s="1"/>
  <c r="D47" i="17"/>
  <c r="B48" i="17"/>
  <c r="M48" i="17"/>
  <c r="O48" i="17" s="1"/>
  <c r="P48" i="17" s="1"/>
  <c r="U48" i="17"/>
  <c r="H47" i="22" l="1"/>
  <c r="J47" i="22" s="1"/>
  <c r="G47" i="22"/>
  <c r="I47" i="22" s="1"/>
  <c r="D48" i="22"/>
  <c r="B49" i="22"/>
  <c r="M49" i="22"/>
  <c r="U49" i="22"/>
  <c r="C49" i="22"/>
  <c r="N49" i="22"/>
  <c r="T49" i="22"/>
  <c r="V49" i="22" s="1"/>
  <c r="R47" i="22"/>
  <c r="S47" i="22" s="1"/>
  <c r="F49" i="22"/>
  <c r="L48" i="22"/>
  <c r="R47" i="21"/>
  <c r="S47" i="21" s="1"/>
  <c r="T51" i="21"/>
  <c r="C51" i="21"/>
  <c r="N51" i="21"/>
  <c r="D49" i="21"/>
  <c r="B50" i="21"/>
  <c r="M50" i="21"/>
  <c r="O50" i="21" s="1"/>
  <c r="U50" i="21"/>
  <c r="V50" i="21" s="1"/>
  <c r="P49" i="21"/>
  <c r="L48" i="21"/>
  <c r="H48" i="21"/>
  <c r="J48" i="21" s="1"/>
  <c r="G48" i="21"/>
  <c r="P48" i="21"/>
  <c r="W48" i="21"/>
  <c r="X48" i="21" s="1"/>
  <c r="R48" i="20"/>
  <c r="S48" i="20" s="1"/>
  <c r="D50" i="20"/>
  <c r="B51" i="20"/>
  <c r="M51" i="20"/>
  <c r="O51" i="20" s="1"/>
  <c r="U51" i="20"/>
  <c r="G49" i="20"/>
  <c r="H49" i="20"/>
  <c r="J49" i="20" s="1"/>
  <c r="V50" i="20"/>
  <c r="L49" i="20"/>
  <c r="R49" i="20" s="1"/>
  <c r="S49" i="20" s="1"/>
  <c r="T51" i="20"/>
  <c r="V51" i="20" s="1"/>
  <c r="C51" i="20"/>
  <c r="N51" i="20"/>
  <c r="R45" i="19"/>
  <c r="S45" i="19" s="1"/>
  <c r="H46" i="19"/>
  <c r="J46" i="19" s="1"/>
  <c r="G46" i="19"/>
  <c r="I46" i="19" s="1"/>
  <c r="D47" i="19"/>
  <c r="B48" i="19"/>
  <c r="M48" i="19"/>
  <c r="O48" i="19" s="1"/>
  <c r="P48" i="19" s="1"/>
  <c r="U48" i="19"/>
  <c r="V48" i="19" s="1"/>
  <c r="W48" i="19" s="1"/>
  <c r="X48" i="19" s="1"/>
  <c r="F49" i="19"/>
  <c r="L48" i="19"/>
  <c r="C49" i="19"/>
  <c r="N49" i="19"/>
  <c r="T49" i="19"/>
  <c r="R46" i="18"/>
  <c r="S46" i="18" s="1"/>
  <c r="O48" i="18"/>
  <c r="P48" i="18" s="1"/>
  <c r="C49" i="18"/>
  <c r="N49" i="18"/>
  <c r="T49" i="18"/>
  <c r="B49" i="18"/>
  <c r="M49" i="18"/>
  <c r="O49" i="18" s="1"/>
  <c r="U49" i="18"/>
  <c r="D48" i="18"/>
  <c r="F49" i="18"/>
  <c r="L48" i="18"/>
  <c r="H47" i="18"/>
  <c r="R47" i="18" s="1"/>
  <c r="S47" i="18" s="1"/>
  <c r="G47" i="18"/>
  <c r="I47" i="18" s="1"/>
  <c r="C49" i="17"/>
  <c r="N49" i="17"/>
  <c r="T49" i="17"/>
  <c r="F50" i="17"/>
  <c r="D48" i="17"/>
  <c r="B49" i="17"/>
  <c r="M49" i="17"/>
  <c r="O49" i="17" s="1"/>
  <c r="P49" i="17" s="1"/>
  <c r="U49" i="17"/>
  <c r="H47" i="17"/>
  <c r="J47" i="17" s="1"/>
  <c r="R47" i="17" s="1"/>
  <c r="S47" i="17" s="1"/>
  <c r="G47" i="17"/>
  <c r="I47" i="17" s="1"/>
  <c r="W49" i="22" l="1"/>
  <c r="X49" i="22" s="1"/>
  <c r="F50" i="22"/>
  <c r="L49" i="22"/>
  <c r="O49" i="22"/>
  <c r="P49" i="22" s="1"/>
  <c r="D49" i="22"/>
  <c r="B50" i="22"/>
  <c r="M50" i="22"/>
  <c r="U50" i="22"/>
  <c r="H48" i="22"/>
  <c r="J48" i="22" s="1"/>
  <c r="G48" i="22"/>
  <c r="I48" i="22" s="1"/>
  <c r="C50" i="22"/>
  <c r="N50" i="22"/>
  <c r="T50" i="22"/>
  <c r="D50" i="21"/>
  <c r="B51" i="21"/>
  <c r="M51" i="21"/>
  <c r="O51" i="21" s="1"/>
  <c r="U51" i="21"/>
  <c r="H49" i="21"/>
  <c r="J49" i="21" s="1"/>
  <c r="G49" i="21"/>
  <c r="W49" i="21"/>
  <c r="X49" i="21" s="1"/>
  <c r="W50" i="21"/>
  <c r="X50" i="21" s="1"/>
  <c r="L49" i="21"/>
  <c r="R49" i="21" s="1"/>
  <c r="S49" i="21" s="1"/>
  <c r="R48" i="21"/>
  <c r="S48" i="21" s="1"/>
  <c r="T52" i="21"/>
  <c r="C52" i="21"/>
  <c r="N52" i="21"/>
  <c r="V51" i="21"/>
  <c r="W50" i="20"/>
  <c r="X50" i="20" s="1"/>
  <c r="U52" i="20"/>
  <c r="D51" i="20"/>
  <c r="B52" i="20"/>
  <c r="M52" i="20"/>
  <c r="O52" i="20" s="1"/>
  <c r="L50" i="20"/>
  <c r="G50" i="20"/>
  <c r="H50" i="20"/>
  <c r="J50" i="20" s="1"/>
  <c r="P50" i="20"/>
  <c r="W51" i="20"/>
  <c r="X51" i="20" s="1"/>
  <c r="T52" i="20"/>
  <c r="C52" i="20"/>
  <c r="N52" i="20"/>
  <c r="R46" i="19"/>
  <c r="S46" i="19" s="1"/>
  <c r="D48" i="19"/>
  <c r="B49" i="19"/>
  <c r="M49" i="19"/>
  <c r="O49" i="19" s="1"/>
  <c r="P49" i="19" s="1"/>
  <c r="U49" i="19"/>
  <c r="V49" i="19" s="1"/>
  <c r="W49" i="19" s="1"/>
  <c r="X49" i="19" s="1"/>
  <c r="C50" i="19"/>
  <c r="N50" i="19"/>
  <c r="T50" i="19"/>
  <c r="F50" i="19"/>
  <c r="L49" i="19"/>
  <c r="H47" i="19"/>
  <c r="J47" i="19" s="1"/>
  <c r="G47" i="19"/>
  <c r="I47" i="19" s="1"/>
  <c r="B50" i="18"/>
  <c r="M50" i="18"/>
  <c r="U50" i="18"/>
  <c r="D49" i="18"/>
  <c r="V49" i="18"/>
  <c r="W49" i="18" s="1"/>
  <c r="X49" i="18" s="1"/>
  <c r="L49" i="18"/>
  <c r="F50" i="18"/>
  <c r="G48" i="18"/>
  <c r="I48" i="18" s="1"/>
  <c r="H48" i="18"/>
  <c r="R48" i="18" s="1"/>
  <c r="S48" i="18" s="1"/>
  <c r="C50" i="18"/>
  <c r="N50" i="18"/>
  <c r="T50" i="18"/>
  <c r="V50" i="18" s="1"/>
  <c r="W50" i="18" s="1"/>
  <c r="X50" i="18" s="1"/>
  <c r="P49" i="18"/>
  <c r="V49" i="17"/>
  <c r="W49" i="17" s="1"/>
  <c r="X49" i="17" s="1"/>
  <c r="D49" i="17"/>
  <c r="B50" i="17"/>
  <c r="M50" i="17"/>
  <c r="U50" i="17"/>
  <c r="F51" i="17"/>
  <c r="H48" i="17"/>
  <c r="J48" i="17" s="1"/>
  <c r="R48" i="17" s="1"/>
  <c r="S48" i="17" s="1"/>
  <c r="G48" i="17"/>
  <c r="I48" i="17" s="1"/>
  <c r="C50" i="17"/>
  <c r="N50" i="17"/>
  <c r="T50" i="17"/>
  <c r="R48" i="22" l="1"/>
  <c r="S48" i="22" s="1"/>
  <c r="D50" i="22"/>
  <c r="B51" i="22"/>
  <c r="M51" i="22"/>
  <c r="U51" i="22"/>
  <c r="H49" i="22"/>
  <c r="J49" i="22" s="1"/>
  <c r="G49" i="22"/>
  <c r="I49" i="22" s="1"/>
  <c r="R49" i="22" s="1"/>
  <c r="S49" i="22" s="1"/>
  <c r="T51" i="22"/>
  <c r="V51" i="22" s="1"/>
  <c r="C51" i="22"/>
  <c r="N51" i="22"/>
  <c r="F51" i="22"/>
  <c r="L50" i="22"/>
  <c r="O50" i="22"/>
  <c r="P50" i="22" s="1"/>
  <c r="V50" i="22"/>
  <c r="W50" i="22" s="1"/>
  <c r="X50" i="22" s="1"/>
  <c r="P50" i="21"/>
  <c r="U52" i="21"/>
  <c r="D51" i="21"/>
  <c r="B52" i="21"/>
  <c r="D52" i="21" s="1"/>
  <c r="M52" i="21"/>
  <c r="O52" i="21" s="1"/>
  <c r="G50" i="21"/>
  <c r="H50" i="21"/>
  <c r="J50" i="21" s="1"/>
  <c r="V52" i="21"/>
  <c r="L50" i="21"/>
  <c r="R50" i="20"/>
  <c r="S50" i="20" s="1"/>
  <c r="L52" i="20"/>
  <c r="L51" i="20"/>
  <c r="P52" i="20"/>
  <c r="D52" i="20"/>
  <c r="H51" i="20"/>
  <c r="J51" i="20" s="1"/>
  <c r="G51" i="20"/>
  <c r="P51" i="20"/>
  <c r="V52" i="20"/>
  <c r="W52" i="20" s="1"/>
  <c r="X52" i="20" s="1"/>
  <c r="R47" i="19"/>
  <c r="S47" i="19" s="1"/>
  <c r="T51" i="19"/>
  <c r="C51" i="19"/>
  <c r="N51" i="19"/>
  <c r="F51" i="19"/>
  <c r="L50" i="19"/>
  <c r="D49" i="19"/>
  <c r="B50" i="19"/>
  <c r="M50" i="19"/>
  <c r="O50" i="19" s="1"/>
  <c r="P50" i="19" s="1"/>
  <c r="U50" i="19"/>
  <c r="V50" i="19" s="1"/>
  <c r="W50" i="19" s="1"/>
  <c r="X50" i="19" s="1"/>
  <c r="H48" i="19"/>
  <c r="J48" i="19" s="1"/>
  <c r="G48" i="19"/>
  <c r="I48" i="19" s="1"/>
  <c r="L50" i="18"/>
  <c r="F51" i="18"/>
  <c r="H49" i="18"/>
  <c r="G49" i="18"/>
  <c r="I49" i="18" s="1"/>
  <c r="T51" i="18"/>
  <c r="V51" i="18" s="1"/>
  <c r="W51" i="18" s="1"/>
  <c r="X51" i="18" s="1"/>
  <c r="C51" i="18"/>
  <c r="N51" i="18"/>
  <c r="O50" i="18"/>
  <c r="P50" i="18" s="1"/>
  <c r="R49" i="18"/>
  <c r="S49" i="18" s="1"/>
  <c r="D50" i="18"/>
  <c r="B51" i="18"/>
  <c r="M51" i="18"/>
  <c r="O51" i="18" s="1"/>
  <c r="P51" i="18" s="1"/>
  <c r="U51" i="18"/>
  <c r="O50" i="17"/>
  <c r="P50" i="17" s="1"/>
  <c r="D50" i="17"/>
  <c r="B51" i="17"/>
  <c r="M51" i="17"/>
  <c r="U51" i="17"/>
  <c r="F52" i="17"/>
  <c r="H49" i="17"/>
  <c r="J49" i="17" s="1"/>
  <c r="R49" i="17" s="1"/>
  <c r="S49" i="17" s="1"/>
  <c r="G49" i="17"/>
  <c r="I49" i="17" s="1"/>
  <c r="T51" i="17"/>
  <c r="V51" i="17" s="1"/>
  <c r="W51" i="17" s="1"/>
  <c r="X51" i="17" s="1"/>
  <c r="C51" i="17"/>
  <c r="N51" i="17"/>
  <c r="V50" i="17"/>
  <c r="W50" i="17" s="1"/>
  <c r="X50" i="17" s="1"/>
  <c r="W51" i="22" l="1"/>
  <c r="X51" i="22" s="1"/>
  <c r="T52" i="22"/>
  <c r="C52" i="22"/>
  <c r="N52" i="22"/>
  <c r="O51" i="22"/>
  <c r="P51" i="22" s="1"/>
  <c r="F52" i="22"/>
  <c r="L52" i="22" s="1"/>
  <c r="U59" i="22" s="1"/>
  <c r="L51" i="22"/>
  <c r="U52" i="22"/>
  <c r="D51" i="22"/>
  <c r="B52" i="22"/>
  <c r="D52" i="22" s="1"/>
  <c r="M52" i="22"/>
  <c r="O52" i="22" s="1"/>
  <c r="P52" i="22" s="1"/>
  <c r="G50" i="22"/>
  <c r="I50" i="22" s="1"/>
  <c r="R50" i="22" s="1"/>
  <c r="S50" i="22" s="1"/>
  <c r="H50" i="22"/>
  <c r="J50" i="22" s="1"/>
  <c r="L52" i="21"/>
  <c r="L51" i="21"/>
  <c r="H52" i="21"/>
  <c r="J52" i="21" s="1"/>
  <c r="G52" i="21"/>
  <c r="K52" i="21"/>
  <c r="W52" i="21"/>
  <c r="X52" i="21" s="1"/>
  <c r="H51" i="21"/>
  <c r="J51" i="21" s="1"/>
  <c r="G51" i="21"/>
  <c r="P51" i="21"/>
  <c r="W51" i="21"/>
  <c r="X51" i="21" s="1"/>
  <c r="P52" i="21"/>
  <c r="R50" i="21"/>
  <c r="S50" i="21" s="1"/>
  <c r="U59" i="20"/>
  <c r="H52" i="20"/>
  <c r="J52" i="20" s="1"/>
  <c r="U57" i="20" s="1"/>
  <c r="G52" i="20"/>
  <c r="U58" i="20" s="1"/>
  <c r="K52" i="20"/>
  <c r="U60" i="20"/>
  <c r="R51" i="20"/>
  <c r="S51" i="20" s="1"/>
  <c r="R48" i="19"/>
  <c r="S48" i="19" s="1"/>
  <c r="D50" i="19"/>
  <c r="B51" i="19"/>
  <c r="M51" i="19"/>
  <c r="O51" i="19" s="1"/>
  <c r="P51" i="19" s="1"/>
  <c r="U51" i="19"/>
  <c r="V51" i="19" s="1"/>
  <c r="W51" i="19" s="1"/>
  <c r="X51" i="19" s="1"/>
  <c r="H49" i="19"/>
  <c r="J49" i="19" s="1"/>
  <c r="G49" i="19"/>
  <c r="I49" i="19" s="1"/>
  <c r="F52" i="19"/>
  <c r="L52" i="19" s="1"/>
  <c r="U59" i="19" s="1"/>
  <c r="L51" i="19"/>
  <c r="T52" i="19"/>
  <c r="C52" i="19"/>
  <c r="N52" i="19"/>
  <c r="C52" i="18"/>
  <c r="N52" i="18"/>
  <c r="T52" i="18"/>
  <c r="U52" i="18"/>
  <c r="D51" i="18"/>
  <c r="B52" i="18"/>
  <c r="D52" i="18" s="1"/>
  <c r="M52" i="18"/>
  <c r="O52" i="18" s="1"/>
  <c r="P52" i="18" s="1"/>
  <c r="G50" i="18"/>
  <c r="I50" i="18" s="1"/>
  <c r="H50" i="18"/>
  <c r="R50" i="18" s="1"/>
  <c r="S50" i="18" s="1"/>
  <c r="F52" i="18"/>
  <c r="L52" i="18" s="1"/>
  <c r="U59" i="18" s="1"/>
  <c r="L51" i="18"/>
  <c r="O51" i="17"/>
  <c r="P51" i="17" s="1"/>
  <c r="T52" i="17"/>
  <c r="C52" i="17"/>
  <c r="N52" i="17"/>
  <c r="U52" i="17"/>
  <c r="D51" i="17"/>
  <c r="B52" i="17"/>
  <c r="D52" i="17" s="1"/>
  <c r="M52" i="17"/>
  <c r="O52" i="17" s="1"/>
  <c r="P52" i="17" s="1"/>
  <c r="G50" i="17"/>
  <c r="I50" i="17" s="1"/>
  <c r="H50" i="17"/>
  <c r="J50" i="17" s="1"/>
  <c r="R50" i="17" s="1"/>
  <c r="S50" i="17" s="1"/>
  <c r="U60" i="22" l="1"/>
  <c r="H52" i="22"/>
  <c r="J52" i="22" s="1"/>
  <c r="G52" i="22"/>
  <c r="I52" i="22" s="1"/>
  <c r="K52" i="22"/>
  <c r="H51" i="22"/>
  <c r="J51" i="22" s="1"/>
  <c r="G51" i="22"/>
  <c r="I51" i="22" s="1"/>
  <c r="V52" i="22"/>
  <c r="W52" i="22" s="1"/>
  <c r="X52" i="22" s="1"/>
  <c r="U58" i="21"/>
  <c r="U57" i="21"/>
  <c r="R52" i="21"/>
  <c r="S52" i="21" s="1"/>
  <c r="U60" i="21"/>
  <c r="R51" i="21"/>
  <c r="S51" i="21" s="1"/>
  <c r="U59" i="21"/>
  <c r="R52" i="20"/>
  <c r="S52" i="20" s="1"/>
  <c r="Q56" i="20" s="1"/>
  <c r="R49" i="19"/>
  <c r="S49" i="19" s="1"/>
  <c r="U52" i="19"/>
  <c r="V52" i="19" s="1"/>
  <c r="W52" i="19" s="1"/>
  <c r="X52" i="19" s="1"/>
  <c r="D51" i="19"/>
  <c r="B52" i="19"/>
  <c r="D52" i="19" s="1"/>
  <c r="M52" i="19"/>
  <c r="O52" i="19" s="1"/>
  <c r="P52" i="19" s="1"/>
  <c r="G50" i="19"/>
  <c r="I50" i="19" s="1"/>
  <c r="H50" i="19"/>
  <c r="J50" i="19" s="1"/>
  <c r="U60" i="18"/>
  <c r="H52" i="18"/>
  <c r="G52" i="18"/>
  <c r="I52" i="18" s="1"/>
  <c r="K52" i="18"/>
  <c r="H51" i="18"/>
  <c r="G51" i="18"/>
  <c r="I51" i="18" s="1"/>
  <c r="V52" i="18"/>
  <c r="W52" i="18" s="1"/>
  <c r="X52" i="18" s="1"/>
  <c r="U60" i="17"/>
  <c r="H51" i="17"/>
  <c r="J51" i="17" s="1"/>
  <c r="G51" i="17"/>
  <c r="I51" i="17" s="1"/>
  <c r="H52" i="17"/>
  <c r="J52" i="17" s="1"/>
  <c r="U57" i="17" s="1"/>
  <c r="G52" i="17"/>
  <c r="I52" i="17" s="1"/>
  <c r="U58" i="17" s="1"/>
  <c r="K52" i="17"/>
  <c r="R52" i="17" s="1"/>
  <c r="S52" i="17" s="1"/>
  <c r="V52" i="17"/>
  <c r="W52" i="17" s="1"/>
  <c r="X52" i="17" s="1"/>
  <c r="R51" i="17"/>
  <c r="S51" i="17" s="1"/>
  <c r="R51" i="22" l="1"/>
  <c r="S51" i="22" s="1"/>
  <c r="R52" i="22"/>
  <c r="S52" i="22" s="1"/>
  <c r="Q56" i="22"/>
  <c r="Q59" i="22"/>
  <c r="U57" i="22"/>
  <c r="U58" i="22"/>
  <c r="Q59" i="21"/>
  <c r="Q56" i="21"/>
  <c r="Q59" i="20"/>
  <c r="Q57" i="20"/>
  <c r="R50" i="19"/>
  <c r="S50" i="19" s="1"/>
  <c r="H51" i="19"/>
  <c r="J51" i="19" s="1"/>
  <c r="G51" i="19"/>
  <c r="I51" i="19" s="1"/>
  <c r="U60" i="19"/>
  <c r="H52" i="19"/>
  <c r="J52" i="19" s="1"/>
  <c r="U57" i="19" s="1"/>
  <c r="G52" i="19"/>
  <c r="I52" i="19" s="1"/>
  <c r="U58" i="19" s="1"/>
  <c r="K52" i="19"/>
  <c r="R52" i="19" s="1"/>
  <c r="S52" i="19" s="1"/>
  <c r="R52" i="18"/>
  <c r="S52" i="18" s="1"/>
  <c r="R51" i="18"/>
  <c r="S51" i="18" s="1"/>
  <c r="U58" i="18"/>
  <c r="U57" i="18"/>
  <c r="Q59" i="18"/>
  <c r="Q56" i="18"/>
  <c r="Q56" i="17"/>
  <c r="Q59" i="17"/>
  <c r="Q57" i="22" l="1"/>
  <c r="Q57" i="21"/>
  <c r="R51" i="19"/>
  <c r="S51" i="19" s="1"/>
  <c r="Q56" i="19"/>
  <c r="Q59" i="19"/>
  <c r="Q57" i="18"/>
  <c r="Q57" i="17"/>
  <c r="Q57" i="19" l="1"/>
  <c r="B3" i="8" l="1"/>
  <c r="B4" i="8" s="1"/>
  <c r="B2" i="8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2" i="6"/>
  <c r="T4" i="10"/>
  <c r="U4" i="10"/>
  <c r="T5" i="10"/>
  <c r="U5" i="10"/>
  <c r="T6" i="10"/>
  <c r="U6" i="10"/>
  <c r="T7" i="10"/>
  <c r="U7" i="10"/>
  <c r="T8" i="10"/>
  <c r="U8" i="10"/>
  <c r="T9" i="10"/>
  <c r="V9" i="10" s="1"/>
  <c r="W9" i="10" s="1"/>
  <c r="U9" i="10"/>
  <c r="T10" i="10"/>
  <c r="U10" i="10"/>
  <c r="T11" i="10"/>
  <c r="U11" i="10"/>
  <c r="T12" i="10"/>
  <c r="U12" i="10"/>
  <c r="T13" i="10"/>
  <c r="U13" i="10"/>
  <c r="T14" i="10"/>
  <c r="U14" i="10"/>
  <c r="T15" i="10"/>
  <c r="V15" i="10" s="1"/>
  <c r="W15" i="10" s="1"/>
  <c r="U15" i="10"/>
  <c r="T16" i="10"/>
  <c r="U16" i="10"/>
  <c r="T17" i="10"/>
  <c r="U17" i="10"/>
  <c r="T18" i="10"/>
  <c r="U18" i="10"/>
  <c r="T19" i="10"/>
  <c r="U19" i="10"/>
  <c r="T20" i="10"/>
  <c r="U20" i="10"/>
  <c r="T21" i="10"/>
  <c r="V21" i="10" s="1"/>
  <c r="W21" i="10" s="1"/>
  <c r="U21" i="10"/>
  <c r="T22" i="10"/>
  <c r="U22" i="10"/>
  <c r="T23" i="10"/>
  <c r="U23" i="10"/>
  <c r="T24" i="10"/>
  <c r="U24" i="10"/>
  <c r="T25" i="10"/>
  <c r="U25" i="10"/>
  <c r="T26" i="10"/>
  <c r="U26" i="10"/>
  <c r="T27" i="10"/>
  <c r="V27" i="10" s="1"/>
  <c r="W27" i="10" s="1"/>
  <c r="U27" i="10"/>
  <c r="T28" i="10"/>
  <c r="U28" i="10"/>
  <c r="T29" i="10"/>
  <c r="U29" i="10"/>
  <c r="T30" i="10"/>
  <c r="U30" i="10"/>
  <c r="T31" i="10"/>
  <c r="U31" i="10"/>
  <c r="T32" i="10"/>
  <c r="U32" i="10"/>
  <c r="T33" i="10"/>
  <c r="V33" i="10" s="1"/>
  <c r="W33" i="10" s="1"/>
  <c r="U33" i="10"/>
  <c r="T34" i="10"/>
  <c r="U34" i="10"/>
  <c r="T35" i="10"/>
  <c r="U35" i="10"/>
  <c r="T36" i="10"/>
  <c r="U36" i="10"/>
  <c r="T37" i="10"/>
  <c r="U37" i="10"/>
  <c r="T38" i="10"/>
  <c r="U38" i="10"/>
  <c r="T39" i="10"/>
  <c r="V39" i="10" s="1"/>
  <c r="W39" i="10" s="1"/>
  <c r="U39" i="10"/>
  <c r="T40" i="10"/>
  <c r="U40" i="10"/>
  <c r="T41" i="10"/>
  <c r="U41" i="10"/>
  <c r="T42" i="10"/>
  <c r="U42" i="10"/>
  <c r="T43" i="10"/>
  <c r="U43" i="10"/>
  <c r="T44" i="10"/>
  <c r="U44" i="10"/>
  <c r="T45" i="10"/>
  <c r="V45" i="10" s="1"/>
  <c r="W45" i="10" s="1"/>
  <c r="U45" i="10"/>
  <c r="T46" i="10"/>
  <c r="U46" i="10"/>
  <c r="T47" i="10"/>
  <c r="U47" i="10"/>
  <c r="T48" i="10"/>
  <c r="U48" i="10"/>
  <c r="T49" i="10"/>
  <c r="U49" i="10"/>
  <c r="T50" i="10"/>
  <c r="U50" i="10"/>
  <c r="T51" i="10"/>
  <c r="V51" i="10" s="1"/>
  <c r="W51" i="10" s="1"/>
  <c r="U51" i="10"/>
  <c r="T52" i="10"/>
  <c r="U52" i="10"/>
  <c r="T3" i="10"/>
  <c r="U3" i="10"/>
  <c r="P4" i="10"/>
  <c r="P5" i="10"/>
  <c r="U60" i="10" s="1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3" i="10"/>
  <c r="U4" i="9"/>
  <c r="U5" i="9"/>
  <c r="U6" i="9"/>
  <c r="U7" i="9"/>
  <c r="U8" i="9"/>
  <c r="U9" i="9"/>
  <c r="U10" i="9"/>
  <c r="U11" i="9"/>
  <c r="U12" i="9"/>
  <c r="U13" i="9"/>
  <c r="V13" i="9" s="1"/>
  <c r="W13" i="9" s="1"/>
  <c r="U14" i="9"/>
  <c r="U15" i="9"/>
  <c r="U16" i="9"/>
  <c r="U17" i="9"/>
  <c r="U18" i="9"/>
  <c r="U19" i="9"/>
  <c r="U20" i="9"/>
  <c r="U21" i="9"/>
  <c r="U22" i="9"/>
  <c r="U23" i="9"/>
  <c r="U24" i="9"/>
  <c r="U25" i="9"/>
  <c r="V25" i="9" s="1"/>
  <c r="W25" i="9" s="1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33" i="9"/>
  <c r="T34" i="9"/>
  <c r="T35" i="9"/>
  <c r="T36" i="9"/>
  <c r="T37" i="9"/>
  <c r="T38" i="9"/>
  <c r="T39" i="9"/>
  <c r="T40" i="9"/>
  <c r="T41" i="9"/>
  <c r="T42" i="9"/>
  <c r="T43" i="9"/>
  <c r="T44" i="9"/>
  <c r="T45" i="9"/>
  <c r="T46" i="9"/>
  <c r="T47" i="9"/>
  <c r="T48" i="9"/>
  <c r="T49" i="9"/>
  <c r="T50" i="9"/>
  <c r="T51" i="9"/>
  <c r="T52" i="9"/>
  <c r="T3" i="9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3" i="9"/>
  <c r="U57" i="9"/>
  <c r="U59" i="10"/>
  <c r="U58" i="10"/>
  <c r="U59" i="9"/>
  <c r="U58" i="9"/>
  <c r="U59" i="8"/>
  <c r="U3" i="6"/>
  <c r="P4" i="6"/>
  <c r="P5" i="6"/>
  <c r="P6" i="6"/>
  <c r="U60" i="6" s="1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3" i="6"/>
  <c r="U59" i="6"/>
  <c r="U58" i="6"/>
  <c r="P3" i="4"/>
  <c r="V52" i="10"/>
  <c r="W52" i="10" s="1"/>
  <c r="V50" i="10"/>
  <c r="W50" i="10" s="1"/>
  <c r="V49" i="10"/>
  <c r="W49" i="10" s="1"/>
  <c r="V48" i="10"/>
  <c r="W48" i="10" s="1"/>
  <c r="V47" i="10"/>
  <c r="W47" i="10" s="1"/>
  <c r="V46" i="10"/>
  <c r="W46" i="10" s="1"/>
  <c r="V44" i="10"/>
  <c r="W44" i="10" s="1"/>
  <c r="V43" i="10"/>
  <c r="W43" i="10" s="1"/>
  <c r="V42" i="10"/>
  <c r="W42" i="10" s="1"/>
  <c r="V41" i="10"/>
  <c r="W41" i="10" s="1"/>
  <c r="V40" i="10"/>
  <c r="W40" i="10" s="1"/>
  <c r="V38" i="10"/>
  <c r="W38" i="10" s="1"/>
  <c r="V37" i="10"/>
  <c r="W37" i="10" s="1"/>
  <c r="V36" i="10"/>
  <c r="W36" i="10" s="1"/>
  <c r="V35" i="10"/>
  <c r="W35" i="10" s="1"/>
  <c r="V34" i="10"/>
  <c r="W34" i="10" s="1"/>
  <c r="V32" i="10"/>
  <c r="W32" i="10" s="1"/>
  <c r="V31" i="10"/>
  <c r="W31" i="10" s="1"/>
  <c r="V30" i="10"/>
  <c r="W30" i="10" s="1"/>
  <c r="V29" i="10"/>
  <c r="W29" i="10" s="1"/>
  <c r="V28" i="10"/>
  <c r="W28" i="10" s="1"/>
  <c r="V26" i="10"/>
  <c r="W26" i="10" s="1"/>
  <c r="V25" i="10"/>
  <c r="W25" i="10" s="1"/>
  <c r="V24" i="10"/>
  <c r="W24" i="10" s="1"/>
  <c r="V23" i="10"/>
  <c r="W23" i="10" s="1"/>
  <c r="V22" i="10"/>
  <c r="W22" i="10" s="1"/>
  <c r="V20" i="10"/>
  <c r="W20" i="10" s="1"/>
  <c r="V19" i="10"/>
  <c r="W19" i="10" s="1"/>
  <c r="V18" i="10"/>
  <c r="W18" i="10" s="1"/>
  <c r="V17" i="10"/>
  <c r="W17" i="10" s="1"/>
  <c r="V16" i="10"/>
  <c r="W16" i="10" s="1"/>
  <c r="V14" i="10"/>
  <c r="W14" i="10" s="1"/>
  <c r="V13" i="10"/>
  <c r="W13" i="10" s="1"/>
  <c r="V12" i="10"/>
  <c r="W12" i="10" s="1"/>
  <c r="V11" i="10"/>
  <c r="W11" i="10" s="1"/>
  <c r="V10" i="10"/>
  <c r="W10" i="10" s="1"/>
  <c r="V8" i="10"/>
  <c r="W8" i="10" s="1"/>
  <c r="V7" i="10"/>
  <c r="W7" i="10" s="1"/>
  <c r="V6" i="10"/>
  <c r="W6" i="10" s="1"/>
  <c r="V5" i="10"/>
  <c r="W5" i="10" s="1"/>
  <c r="V4" i="10"/>
  <c r="W4" i="10" s="1"/>
  <c r="V3" i="10"/>
  <c r="W3" i="10" s="1"/>
  <c r="V52" i="9"/>
  <c r="W52" i="9" s="1"/>
  <c r="V51" i="9"/>
  <c r="W51" i="9" s="1"/>
  <c r="V49" i="9"/>
  <c r="W49" i="9" s="1"/>
  <c r="V48" i="9"/>
  <c r="W48" i="9" s="1"/>
  <c r="V47" i="9"/>
  <c r="W47" i="9" s="1"/>
  <c r="V46" i="9"/>
  <c r="W46" i="9" s="1"/>
  <c r="V45" i="9"/>
  <c r="W45" i="9" s="1"/>
  <c r="V44" i="9"/>
  <c r="W44" i="9" s="1"/>
  <c r="V43" i="9"/>
  <c r="W43" i="9" s="1"/>
  <c r="V42" i="9"/>
  <c r="W42" i="9" s="1"/>
  <c r="V41" i="9"/>
  <c r="W41" i="9" s="1"/>
  <c r="V40" i="9"/>
  <c r="W40" i="9" s="1"/>
  <c r="V39" i="9"/>
  <c r="W39" i="9" s="1"/>
  <c r="V37" i="9"/>
  <c r="W37" i="9" s="1"/>
  <c r="V36" i="9"/>
  <c r="W36" i="9" s="1"/>
  <c r="V35" i="9"/>
  <c r="W35" i="9" s="1"/>
  <c r="V34" i="9"/>
  <c r="W34" i="9" s="1"/>
  <c r="V33" i="9"/>
  <c r="W33" i="9" s="1"/>
  <c r="V32" i="9"/>
  <c r="W32" i="9" s="1"/>
  <c r="V31" i="9"/>
  <c r="W31" i="9" s="1"/>
  <c r="V30" i="9"/>
  <c r="W30" i="9" s="1"/>
  <c r="V29" i="9"/>
  <c r="W29" i="9" s="1"/>
  <c r="V28" i="9"/>
  <c r="W28" i="9" s="1"/>
  <c r="V27" i="9"/>
  <c r="W27" i="9" s="1"/>
  <c r="V24" i="9"/>
  <c r="W24" i="9" s="1"/>
  <c r="V23" i="9"/>
  <c r="W23" i="9" s="1"/>
  <c r="V22" i="9"/>
  <c r="W22" i="9" s="1"/>
  <c r="V21" i="9"/>
  <c r="W21" i="9" s="1"/>
  <c r="V20" i="9"/>
  <c r="W20" i="9" s="1"/>
  <c r="V19" i="9"/>
  <c r="W19" i="9" s="1"/>
  <c r="V18" i="9"/>
  <c r="W18" i="9" s="1"/>
  <c r="V17" i="9"/>
  <c r="W17" i="9" s="1"/>
  <c r="V16" i="9"/>
  <c r="W16" i="9" s="1"/>
  <c r="V15" i="9"/>
  <c r="W15" i="9" s="1"/>
  <c r="V12" i="9"/>
  <c r="W12" i="9" s="1"/>
  <c r="V11" i="9"/>
  <c r="W11" i="9" s="1"/>
  <c r="V10" i="9"/>
  <c r="W10" i="9" s="1"/>
  <c r="V9" i="9"/>
  <c r="W9" i="9" s="1"/>
  <c r="V8" i="9"/>
  <c r="W8" i="9" s="1"/>
  <c r="V7" i="9"/>
  <c r="W7" i="9" s="1"/>
  <c r="V6" i="9"/>
  <c r="W6" i="9" s="1"/>
  <c r="V5" i="9"/>
  <c r="W5" i="9" s="1"/>
  <c r="V4" i="9"/>
  <c r="W4" i="9" s="1"/>
  <c r="V3" i="9"/>
  <c r="W3" i="9" s="1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U4" i="8"/>
  <c r="T4" i="8"/>
  <c r="U3" i="8"/>
  <c r="T3" i="8"/>
  <c r="U52" i="6"/>
  <c r="T52" i="6"/>
  <c r="V52" i="6" s="1"/>
  <c r="W52" i="6" s="1"/>
  <c r="U51" i="6"/>
  <c r="T51" i="6"/>
  <c r="V51" i="6" s="1"/>
  <c r="W51" i="6" s="1"/>
  <c r="U50" i="6"/>
  <c r="T50" i="6"/>
  <c r="V50" i="6" s="1"/>
  <c r="W50" i="6" s="1"/>
  <c r="U49" i="6"/>
  <c r="T49" i="6"/>
  <c r="V49" i="6" s="1"/>
  <c r="W49" i="6" s="1"/>
  <c r="U48" i="6"/>
  <c r="T48" i="6"/>
  <c r="V48" i="6" s="1"/>
  <c r="W48" i="6" s="1"/>
  <c r="U47" i="6"/>
  <c r="T47" i="6"/>
  <c r="V47" i="6" s="1"/>
  <c r="W47" i="6" s="1"/>
  <c r="U46" i="6"/>
  <c r="T46" i="6"/>
  <c r="V46" i="6" s="1"/>
  <c r="W46" i="6" s="1"/>
  <c r="U45" i="6"/>
  <c r="T45" i="6"/>
  <c r="V45" i="6" s="1"/>
  <c r="W45" i="6" s="1"/>
  <c r="U44" i="6"/>
  <c r="T44" i="6"/>
  <c r="V44" i="6" s="1"/>
  <c r="W44" i="6" s="1"/>
  <c r="U43" i="6"/>
  <c r="T43" i="6"/>
  <c r="V43" i="6" s="1"/>
  <c r="W43" i="6" s="1"/>
  <c r="U42" i="6"/>
  <c r="T42" i="6"/>
  <c r="V42" i="6" s="1"/>
  <c r="W42" i="6" s="1"/>
  <c r="U41" i="6"/>
  <c r="T41" i="6"/>
  <c r="V41" i="6" s="1"/>
  <c r="W41" i="6" s="1"/>
  <c r="U40" i="6"/>
  <c r="T40" i="6"/>
  <c r="V40" i="6" s="1"/>
  <c r="W40" i="6" s="1"/>
  <c r="U39" i="6"/>
  <c r="T39" i="6"/>
  <c r="V39" i="6" s="1"/>
  <c r="W39" i="6" s="1"/>
  <c r="U38" i="6"/>
  <c r="T38" i="6"/>
  <c r="V38" i="6" s="1"/>
  <c r="W38" i="6" s="1"/>
  <c r="U37" i="6"/>
  <c r="T37" i="6"/>
  <c r="V37" i="6" s="1"/>
  <c r="W37" i="6" s="1"/>
  <c r="U36" i="6"/>
  <c r="T36" i="6"/>
  <c r="V36" i="6" s="1"/>
  <c r="W36" i="6" s="1"/>
  <c r="U35" i="6"/>
  <c r="T35" i="6"/>
  <c r="V35" i="6" s="1"/>
  <c r="W35" i="6" s="1"/>
  <c r="U34" i="6"/>
  <c r="T34" i="6"/>
  <c r="V34" i="6" s="1"/>
  <c r="W34" i="6" s="1"/>
  <c r="U33" i="6"/>
  <c r="T33" i="6"/>
  <c r="V33" i="6" s="1"/>
  <c r="W33" i="6" s="1"/>
  <c r="U32" i="6"/>
  <c r="T32" i="6"/>
  <c r="V32" i="6" s="1"/>
  <c r="W32" i="6" s="1"/>
  <c r="U31" i="6"/>
  <c r="T31" i="6"/>
  <c r="V31" i="6" s="1"/>
  <c r="W31" i="6" s="1"/>
  <c r="U30" i="6"/>
  <c r="T30" i="6"/>
  <c r="V30" i="6" s="1"/>
  <c r="W30" i="6" s="1"/>
  <c r="U29" i="6"/>
  <c r="T29" i="6"/>
  <c r="V29" i="6" s="1"/>
  <c r="W29" i="6" s="1"/>
  <c r="U28" i="6"/>
  <c r="T28" i="6"/>
  <c r="V28" i="6" s="1"/>
  <c r="W28" i="6" s="1"/>
  <c r="U27" i="6"/>
  <c r="T27" i="6"/>
  <c r="V27" i="6" s="1"/>
  <c r="W27" i="6" s="1"/>
  <c r="U26" i="6"/>
  <c r="T26" i="6"/>
  <c r="V26" i="6" s="1"/>
  <c r="W26" i="6" s="1"/>
  <c r="U25" i="6"/>
  <c r="T25" i="6"/>
  <c r="V25" i="6" s="1"/>
  <c r="W25" i="6" s="1"/>
  <c r="U24" i="6"/>
  <c r="T24" i="6"/>
  <c r="V24" i="6" s="1"/>
  <c r="W24" i="6" s="1"/>
  <c r="U23" i="6"/>
  <c r="T23" i="6"/>
  <c r="V23" i="6" s="1"/>
  <c r="W23" i="6" s="1"/>
  <c r="U22" i="6"/>
  <c r="T22" i="6"/>
  <c r="V22" i="6" s="1"/>
  <c r="W22" i="6" s="1"/>
  <c r="U21" i="6"/>
  <c r="T21" i="6"/>
  <c r="V21" i="6" s="1"/>
  <c r="W21" i="6" s="1"/>
  <c r="U20" i="6"/>
  <c r="T20" i="6"/>
  <c r="V20" i="6" s="1"/>
  <c r="W20" i="6" s="1"/>
  <c r="U19" i="6"/>
  <c r="T19" i="6"/>
  <c r="V19" i="6" s="1"/>
  <c r="W19" i="6" s="1"/>
  <c r="U18" i="6"/>
  <c r="T18" i="6"/>
  <c r="V18" i="6" s="1"/>
  <c r="W18" i="6" s="1"/>
  <c r="U17" i="6"/>
  <c r="T17" i="6"/>
  <c r="V17" i="6" s="1"/>
  <c r="W17" i="6" s="1"/>
  <c r="U16" i="6"/>
  <c r="T16" i="6"/>
  <c r="V16" i="6" s="1"/>
  <c r="W16" i="6" s="1"/>
  <c r="U15" i="6"/>
  <c r="T15" i="6"/>
  <c r="V15" i="6" s="1"/>
  <c r="W15" i="6" s="1"/>
  <c r="U14" i="6"/>
  <c r="T14" i="6"/>
  <c r="V14" i="6" s="1"/>
  <c r="W14" i="6" s="1"/>
  <c r="U13" i="6"/>
  <c r="T13" i="6"/>
  <c r="V13" i="6" s="1"/>
  <c r="W13" i="6" s="1"/>
  <c r="U12" i="6"/>
  <c r="T12" i="6"/>
  <c r="V12" i="6" s="1"/>
  <c r="W12" i="6" s="1"/>
  <c r="U11" i="6"/>
  <c r="T11" i="6"/>
  <c r="V11" i="6" s="1"/>
  <c r="W11" i="6" s="1"/>
  <c r="U10" i="6"/>
  <c r="T10" i="6"/>
  <c r="V10" i="6" s="1"/>
  <c r="W10" i="6" s="1"/>
  <c r="U9" i="6"/>
  <c r="T9" i="6"/>
  <c r="V9" i="6" s="1"/>
  <c r="W9" i="6" s="1"/>
  <c r="U8" i="6"/>
  <c r="T8" i="6"/>
  <c r="V8" i="6" s="1"/>
  <c r="W8" i="6" s="1"/>
  <c r="U7" i="6"/>
  <c r="T7" i="6"/>
  <c r="V7" i="6" s="1"/>
  <c r="W7" i="6" s="1"/>
  <c r="U6" i="6"/>
  <c r="T6" i="6"/>
  <c r="V6" i="6" s="1"/>
  <c r="W6" i="6" s="1"/>
  <c r="U5" i="6"/>
  <c r="T5" i="6"/>
  <c r="V5" i="6" s="1"/>
  <c r="W5" i="6" s="1"/>
  <c r="U4" i="6"/>
  <c r="T4" i="6"/>
  <c r="V4" i="6" s="1"/>
  <c r="W4" i="6" s="1"/>
  <c r="T3" i="6"/>
  <c r="V3" i="6" s="1"/>
  <c r="W3" i="6" s="1"/>
  <c r="U60" i="4"/>
  <c r="U59" i="4"/>
  <c r="U58" i="4"/>
  <c r="U57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3" i="4"/>
  <c r="V52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O4" i="1"/>
  <c r="B5" i="8" l="1"/>
  <c r="U5" i="8"/>
  <c r="V5" i="8"/>
  <c r="W5" i="8" s="1"/>
  <c r="V3" i="8"/>
  <c r="W3" i="8" s="1"/>
  <c r="V4" i="8"/>
  <c r="W4" i="8" s="1"/>
  <c r="U57" i="10"/>
  <c r="V50" i="9"/>
  <c r="W50" i="9" s="1"/>
  <c r="V38" i="9"/>
  <c r="W38" i="9" s="1"/>
  <c r="V26" i="9"/>
  <c r="W26" i="9" s="1"/>
  <c r="V14" i="9"/>
  <c r="W14" i="9" s="1"/>
  <c r="U60" i="9"/>
  <c r="U57" i="6"/>
  <c r="B6" i="8" l="1"/>
  <c r="U6" i="8"/>
  <c r="V6" i="8" s="1"/>
  <c r="W6" i="8" s="1"/>
  <c r="U7" i="8" l="1"/>
  <c r="V7" i="8" s="1"/>
  <c r="W7" i="8" s="1"/>
  <c r="B7" i="8"/>
  <c r="U8" i="8" l="1"/>
  <c r="V8" i="8" s="1"/>
  <c r="W8" i="8" s="1"/>
  <c r="B8" i="8"/>
  <c r="U9" i="8" l="1"/>
  <c r="V9" i="8" s="1"/>
  <c r="W9" i="8" s="1"/>
  <c r="B9" i="8"/>
  <c r="U10" i="8" l="1"/>
  <c r="V10" i="8" s="1"/>
  <c r="W10" i="8" s="1"/>
  <c r="B10" i="8"/>
  <c r="U11" i="8" l="1"/>
  <c r="V11" i="8" s="1"/>
  <c r="W11" i="8" s="1"/>
  <c r="B11" i="8"/>
  <c r="B12" i="8" l="1"/>
  <c r="U12" i="8"/>
  <c r="V12" i="8" s="1"/>
  <c r="W12" i="8" s="1"/>
  <c r="B13" i="8" l="1"/>
  <c r="U13" i="8"/>
  <c r="V13" i="8" s="1"/>
  <c r="W13" i="8" s="1"/>
  <c r="B14" i="8" l="1"/>
  <c r="U14" i="8"/>
  <c r="V14" i="8" s="1"/>
  <c r="W14" i="8" s="1"/>
  <c r="B15" i="8" l="1"/>
  <c r="U15" i="8"/>
  <c r="V15" i="8" s="1"/>
  <c r="W15" i="8" s="1"/>
  <c r="B16" i="8" l="1"/>
  <c r="U16" i="8"/>
  <c r="V16" i="8" s="1"/>
  <c r="W16" i="8" s="1"/>
  <c r="U17" i="8" l="1"/>
  <c r="V17" i="8" s="1"/>
  <c r="W17" i="8" s="1"/>
  <c r="B17" i="8"/>
  <c r="B18" i="8" l="1"/>
  <c r="U18" i="8"/>
  <c r="V18" i="8" s="1"/>
  <c r="W18" i="8" s="1"/>
  <c r="U19" i="8" l="1"/>
  <c r="V19" i="8" s="1"/>
  <c r="W19" i="8" s="1"/>
  <c r="B19" i="8"/>
  <c r="U20" i="8" l="1"/>
  <c r="V20" i="8" s="1"/>
  <c r="W20" i="8" s="1"/>
  <c r="B20" i="8"/>
  <c r="U21" i="8" l="1"/>
  <c r="V21" i="8" s="1"/>
  <c r="W21" i="8" s="1"/>
  <c r="B21" i="8"/>
  <c r="U22" i="8" l="1"/>
  <c r="V22" i="8" s="1"/>
  <c r="W22" i="8" s="1"/>
  <c r="B22" i="8"/>
  <c r="U23" i="8" l="1"/>
  <c r="V23" i="8" s="1"/>
  <c r="W23" i="8" s="1"/>
  <c r="B23" i="8"/>
  <c r="B24" i="8" l="1"/>
  <c r="U24" i="8"/>
  <c r="V24" i="8" s="1"/>
  <c r="W24" i="8" s="1"/>
  <c r="B25" i="8" l="1"/>
  <c r="U25" i="8"/>
  <c r="V25" i="8" s="1"/>
  <c r="W25" i="8" s="1"/>
  <c r="B26" i="8" l="1"/>
  <c r="U26" i="8"/>
  <c r="V26" i="8" s="1"/>
  <c r="W26" i="8" s="1"/>
  <c r="B27" i="8" l="1"/>
  <c r="U27" i="8"/>
  <c r="V27" i="8" s="1"/>
  <c r="W27" i="8" s="1"/>
  <c r="B28" i="8" l="1"/>
  <c r="U28" i="8"/>
  <c r="V28" i="8" s="1"/>
  <c r="W28" i="8" s="1"/>
  <c r="U29" i="8" l="1"/>
  <c r="V29" i="8" s="1"/>
  <c r="W29" i="8" s="1"/>
  <c r="B29" i="8"/>
  <c r="U30" i="8" l="1"/>
  <c r="V30" i="8" s="1"/>
  <c r="W30" i="8" s="1"/>
  <c r="B30" i="8"/>
  <c r="U31" i="8" l="1"/>
  <c r="V31" i="8" s="1"/>
  <c r="W31" i="8" s="1"/>
  <c r="B31" i="8"/>
  <c r="U32" i="8" l="1"/>
  <c r="V32" i="8" s="1"/>
  <c r="W32" i="8" s="1"/>
  <c r="B32" i="8"/>
  <c r="U33" i="8" l="1"/>
  <c r="V33" i="8" s="1"/>
  <c r="W33" i="8" s="1"/>
  <c r="B33" i="8"/>
  <c r="U34" i="8" l="1"/>
  <c r="V34" i="8" s="1"/>
  <c r="W34" i="8" s="1"/>
  <c r="B34" i="8"/>
  <c r="U35" i="8" l="1"/>
  <c r="V35" i="8" s="1"/>
  <c r="W35" i="8" s="1"/>
  <c r="B35" i="8"/>
  <c r="B36" i="8" l="1"/>
  <c r="U36" i="8"/>
  <c r="V36" i="8" s="1"/>
  <c r="W36" i="8" s="1"/>
  <c r="B37" i="8" l="1"/>
  <c r="U37" i="8"/>
  <c r="V37" i="8" s="1"/>
  <c r="W37" i="8" s="1"/>
  <c r="B38" i="8" l="1"/>
  <c r="U38" i="8"/>
  <c r="V38" i="8" s="1"/>
  <c r="W38" i="8" s="1"/>
  <c r="B39" i="8" l="1"/>
  <c r="U39" i="8"/>
  <c r="V39" i="8" s="1"/>
  <c r="W39" i="8" s="1"/>
  <c r="B40" i="8" l="1"/>
  <c r="U40" i="8"/>
  <c r="V40" i="8" s="1"/>
  <c r="W40" i="8" s="1"/>
  <c r="B41" i="8" l="1"/>
  <c r="U41" i="8"/>
  <c r="V41" i="8" s="1"/>
  <c r="W41" i="8" s="1"/>
  <c r="U42" i="8" l="1"/>
  <c r="V42" i="8" s="1"/>
  <c r="W42" i="8" s="1"/>
  <c r="B42" i="8"/>
  <c r="U43" i="8" l="1"/>
  <c r="V43" i="8" s="1"/>
  <c r="W43" i="8" s="1"/>
  <c r="B43" i="8"/>
  <c r="U44" i="8" l="1"/>
  <c r="V44" i="8" s="1"/>
  <c r="W44" i="8" s="1"/>
  <c r="B44" i="8"/>
  <c r="U45" i="8" l="1"/>
  <c r="V45" i="8" s="1"/>
  <c r="W45" i="8" s="1"/>
  <c r="B45" i="8"/>
  <c r="U46" i="8" l="1"/>
  <c r="V46" i="8" s="1"/>
  <c r="W46" i="8" s="1"/>
  <c r="B46" i="8"/>
  <c r="B47" i="8" l="1"/>
  <c r="U47" i="8"/>
  <c r="V47" i="8" s="1"/>
  <c r="W47" i="8" s="1"/>
  <c r="B48" i="8" l="1"/>
  <c r="U48" i="8"/>
  <c r="V48" i="8" s="1"/>
  <c r="W48" i="8" s="1"/>
  <c r="B49" i="8" l="1"/>
  <c r="U49" i="8"/>
  <c r="V49" i="8" s="1"/>
  <c r="W49" i="8" s="1"/>
  <c r="B50" i="8" l="1"/>
  <c r="U50" i="8"/>
  <c r="V50" i="8" s="1"/>
  <c r="W50" i="8" s="1"/>
  <c r="B51" i="8" l="1"/>
  <c r="U51" i="8"/>
  <c r="V51" i="8" s="1"/>
  <c r="W51" i="8" s="1"/>
  <c r="B52" i="8" l="1"/>
  <c r="U52" i="8"/>
  <c r="V52" i="8" s="1"/>
  <c r="W52" i="8" s="1"/>
  <c r="Q4" i="10" l="1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3" i="10"/>
  <c r="C4" i="10"/>
  <c r="C5" i="10" s="1"/>
  <c r="C6" i="10" s="1"/>
  <c r="C7" i="10" s="1"/>
  <c r="C8" i="10" s="1"/>
  <c r="C9" i="10" s="1"/>
  <c r="C10" i="10" s="1"/>
  <c r="C11" i="10" s="1"/>
  <c r="C12" i="10" s="1"/>
  <c r="C13" i="10" s="1"/>
  <c r="C14" i="10" s="1"/>
  <c r="C15" i="10" s="1"/>
  <c r="C16" i="10" s="1"/>
  <c r="C17" i="10" s="1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3" i="10"/>
  <c r="B4" i="10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3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E8" i="10"/>
  <c r="E9" i="10" s="1"/>
  <c r="E10" i="10" s="1"/>
  <c r="E11" i="10" s="1"/>
  <c r="E12" i="10" s="1"/>
  <c r="E13" i="10" s="1"/>
  <c r="E14" i="10" s="1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K7" i="10"/>
  <c r="K6" i="10"/>
  <c r="K5" i="10"/>
  <c r="K4" i="10"/>
  <c r="E4" i="10"/>
  <c r="E5" i="10" s="1"/>
  <c r="E6" i="10" s="1"/>
  <c r="E7" i="10" s="1"/>
  <c r="K3" i="10"/>
  <c r="F3" i="10"/>
  <c r="E3" i="10"/>
  <c r="Q2" i="10"/>
  <c r="N2" i="10"/>
  <c r="F2" i="10"/>
  <c r="E2" i="10"/>
  <c r="C2" i="10"/>
  <c r="B2" i="10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33" i="9"/>
  <c r="M34" i="9"/>
  <c r="M35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3" i="9"/>
  <c r="C4" i="9"/>
  <c r="C5" i="9" s="1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s="1"/>
  <c r="C39" i="9" s="1"/>
  <c r="C40" i="9" s="1"/>
  <c r="C41" i="9" s="1"/>
  <c r="C42" i="9" s="1"/>
  <c r="C43" i="9" s="1"/>
  <c r="C44" i="9" s="1"/>
  <c r="C45" i="9" s="1"/>
  <c r="C46" i="9" s="1"/>
  <c r="C47" i="9" s="1"/>
  <c r="C48" i="9" s="1"/>
  <c r="C49" i="9" s="1"/>
  <c r="C50" i="9" s="1"/>
  <c r="C51" i="9" s="1"/>
  <c r="C52" i="9" s="1"/>
  <c r="C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3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F3" i="9"/>
  <c r="E3" i="9"/>
  <c r="E4" i="9" s="1"/>
  <c r="E5" i="9" s="1"/>
  <c r="E6" i="9" s="1"/>
  <c r="E7" i="9" s="1"/>
  <c r="E8" i="9" s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D3" i="9"/>
  <c r="Q2" i="9"/>
  <c r="N2" i="9"/>
  <c r="M2" i="9"/>
  <c r="F2" i="9"/>
  <c r="E2" i="9"/>
  <c r="C2" i="9"/>
  <c r="B2" i="9"/>
  <c r="C2" i="8"/>
  <c r="Q52" i="8"/>
  <c r="Q51" i="8"/>
  <c r="K51" i="8"/>
  <c r="Q50" i="8"/>
  <c r="K50" i="8"/>
  <c r="Q49" i="8"/>
  <c r="K49" i="8"/>
  <c r="Q48" i="8"/>
  <c r="K48" i="8"/>
  <c r="Q47" i="8"/>
  <c r="K47" i="8"/>
  <c r="Q46" i="8"/>
  <c r="K46" i="8"/>
  <c r="Q45" i="8"/>
  <c r="K45" i="8"/>
  <c r="Q44" i="8"/>
  <c r="K44" i="8"/>
  <c r="Q43" i="8"/>
  <c r="K43" i="8"/>
  <c r="Q42" i="8"/>
  <c r="K42" i="8"/>
  <c r="Q41" i="8"/>
  <c r="K41" i="8"/>
  <c r="Q40" i="8"/>
  <c r="K40" i="8"/>
  <c r="Q39" i="8"/>
  <c r="K39" i="8"/>
  <c r="Q38" i="8"/>
  <c r="K38" i="8"/>
  <c r="Q37" i="8"/>
  <c r="K37" i="8"/>
  <c r="Q36" i="8"/>
  <c r="K36" i="8"/>
  <c r="Q35" i="8"/>
  <c r="K35" i="8"/>
  <c r="Q34" i="8"/>
  <c r="K34" i="8"/>
  <c r="Q33" i="8"/>
  <c r="K33" i="8"/>
  <c r="Q32" i="8"/>
  <c r="K32" i="8"/>
  <c r="Q31" i="8"/>
  <c r="K31" i="8"/>
  <c r="Q30" i="8"/>
  <c r="K30" i="8"/>
  <c r="Q29" i="8"/>
  <c r="K29" i="8"/>
  <c r="Q28" i="8"/>
  <c r="K28" i="8"/>
  <c r="Q27" i="8"/>
  <c r="K27" i="8"/>
  <c r="Q26" i="8"/>
  <c r="K26" i="8"/>
  <c r="Q25" i="8"/>
  <c r="K25" i="8"/>
  <c r="Q24" i="8"/>
  <c r="K24" i="8"/>
  <c r="Q23" i="8"/>
  <c r="K23" i="8"/>
  <c r="Q22" i="8"/>
  <c r="K22" i="8"/>
  <c r="Q21" i="8"/>
  <c r="K21" i="8"/>
  <c r="Q20" i="8"/>
  <c r="K20" i="8"/>
  <c r="Q19" i="8"/>
  <c r="K19" i="8"/>
  <c r="Q18" i="8"/>
  <c r="K18" i="8"/>
  <c r="Q17" i="8"/>
  <c r="K17" i="8"/>
  <c r="Q16" i="8"/>
  <c r="K16" i="8"/>
  <c r="Q15" i="8"/>
  <c r="K15" i="8"/>
  <c r="Q14" i="8"/>
  <c r="K14" i="8"/>
  <c r="Q13" i="8"/>
  <c r="K13" i="8"/>
  <c r="Q12" i="8"/>
  <c r="K12" i="8"/>
  <c r="Q11" i="8"/>
  <c r="K11" i="8"/>
  <c r="Q10" i="8"/>
  <c r="K10" i="8"/>
  <c r="Q9" i="8"/>
  <c r="K9" i="8"/>
  <c r="Q8" i="8"/>
  <c r="K8" i="8"/>
  <c r="Q7" i="8"/>
  <c r="K7" i="8"/>
  <c r="Q6" i="8"/>
  <c r="K6" i="8"/>
  <c r="Q5" i="8"/>
  <c r="K5" i="8"/>
  <c r="Q4" i="8"/>
  <c r="K4" i="8"/>
  <c r="Q3" i="8"/>
  <c r="N3" i="8"/>
  <c r="K3" i="8"/>
  <c r="C3" i="8"/>
  <c r="N4" i="8" s="1"/>
  <c r="Q2" i="8"/>
  <c r="N2" i="8"/>
  <c r="F2" i="8"/>
  <c r="F3" i="8" s="1"/>
  <c r="F4" i="8" s="1"/>
  <c r="E2" i="8"/>
  <c r="E3" i="8" s="1"/>
  <c r="E4" i="8" s="1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M3" i="8"/>
  <c r="O3" i="8" s="1"/>
  <c r="P3" i="8" s="1"/>
  <c r="B2" i="6"/>
  <c r="Q52" i="6"/>
  <c r="Q51" i="6"/>
  <c r="K51" i="6"/>
  <c r="Q50" i="6"/>
  <c r="K50" i="6"/>
  <c r="Q49" i="6"/>
  <c r="K49" i="6"/>
  <c r="Q48" i="6"/>
  <c r="K48" i="6"/>
  <c r="Q47" i="6"/>
  <c r="K47" i="6"/>
  <c r="Q46" i="6"/>
  <c r="K46" i="6"/>
  <c r="Q45" i="6"/>
  <c r="K45" i="6"/>
  <c r="Q44" i="6"/>
  <c r="K44" i="6"/>
  <c r="Q43" i="6"/>
  <c r="K43" i="6"/>
  <c r="Q42" i="6"/>
  <c r="K42" i="6"/>
  <c r="Q41" i="6"/>
  <c r="K41" i="6"/>
  <c r="Q40" i="6"/>
  <c r="K40" i="6"/>
  <c r="Q39" i="6"/>
  <c r="K39" i="6"/>
  <c r="Q38" i="6"/>
  <c r="K38" i="6"/>
  <c r="Q37" i="6"/>
  <c r="K37" i="6"/>
  <c r="Q36" i="6"/>
  <c r="K36" i="6"/>
  <c r="Q35" i="6"/>
  <c r="K35" i="6"/>
  <c r="Q34" i="6"/>
  <c r="K34" i="6"/>
  <c r="Q33" i="6"/>
  <c r="K33" i="6"/>
  <c r="Q32" i="6"/>
  <c r="K32" i="6"/>
  <c r="Q31" i="6"/>
  <c r="K31" i="6"/>
  <c r="Q30" i="6"/>
  <c r="K30" i="6"/>
  <c r="Q29" i="6"/>
  <c r="K29" i="6"/>
  <c r="Q28" i="6"/>
  <c r="K28" i="6"/>
  <c r="Q27" i="6"/>
  <c r="K27" i="6"/>
  <c r="Q26" i="6"/>
  <c r="K26" i="6"/>
  <c r="Q25" i="6"/>
  <c r="K25" i="6"/>
  <c r="Q24" i="6"/>
  <c r="K24" i="6"/>
  <c r="Q23" i="6"/>
  <c r="K23" i="6"/>
  <c r="Q22" i="6"/>
  <c r="K22" i="6"/>
  <c r="Q21" i="6"/>
  <c r="K21" i="6"/>
  <c r="Q20" i="6"/>
  <c r="K20" i="6"/>
  <c r="Q19" i="6"/>
  <c r="K19" i="6"/>
  <c r="Q18" i="6"/>
  <c r="K18" i="6"/>
  <c r="Q17" i="6"/>
  <c r="K17" i="6"/>
  <c r="Q16" i="6"/>
  <c r="K16" i="6"/>
  <c r="Q15" i="6"/>
  <c r="K15" i="6"/>
  <c r="Q14" i="6"/>
  <c r="K14" i="6"/>
  <c r="Q13" i="6"/>
  <c r="K13" i="6"/>
  <c r="Q12" i="6"/>
  <c r="K12" i="6"/>
  <c r="Q11" i="6"/>
  <c r="K11" i="6"/>
  <c r="Q10" i="6"/>
  <c r="K10" i="6"/>
  <c r="Q9" i="6"/>
  <c r="K9" i="6"/>
  <c r="Q8" i="6"/>
  <c r="K8" i="6"/>
  <c r="E8" i="6"/>
  <c r="E9" i="6" s="1"/>
  <c r="E10" i="6" s="1"/>
  <c r="E11" i="6" s="1"/>
  <c r="E12" i="6" s="1"/>
  <c r="E13" i="6" s="1"/>
  <c r="E14" i="6" s="1"/>
  <c r="E15" i="6" s="1"/>
  <c r="E16" i="6" s="1"/>
  <c r="E17" i="6" s="1"/>
  <c r="E18" i="6" s="1"/>
  <c r="E19" i="6" s="1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Q7" i="6"/>
  <c r="K7" i="6"/>
  <c r="Q6" i="6"/>
  <c r="K6" i="6"/>
  <c r="E6" i="6"/>
  <c r="E7" i="6" s="1"/>
  <c r="Q5" i="6"/>
  <c r="K5" i="6"/>
  <c r="Q4" i="6"/>
  <c r="K4" i="6"/>
  <c r="E4" i="6"/>
  <c r="E5" i="6" s="1"/>
  <c r="C4" i="6"/>
  <c r="C5" i="6" s="1"/>
  <c r="N6" i="6" s="1"/>
  <c r="Q3" i="6"/>
  <c r="N3" i="6"/>
  <c r="M3" i="6"/>
  <c r="K3" i="6"/>
  <c r="E3" i="6"/>
  <c r="C3" i="6"/>
  <c r="N4" i="6" s="1"/>
  <c r="B3" i="6"/>
  <c r="Q2" i="6"/>
  <c r="N2" i="6"/>
  <c r="M2" i="6"/>
  <c r="F2" i="6"/>
  <c r="F3" i="6" s="1"/>
  <c r="F4" i="6" s="1"/>
  <c r="E2" i="6"/>
  <c r="D2" i="6"/>
  <c r="C2" i="6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2" i="4"/>
  <c r="E2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3" i="4"/>
  <c r="F2" i="4"/>
  <c r="F3" i="4" s="1"/>
  <c r="F4" i="4" s="1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N5" i="6" l="1"/>
  <c r="O3" i="6"/>
  <c r="O3" i="10"/>
  <c r="D2" i="10"/>
  <c r="F4" i="10"/>
  <c r="M2" i="10"/>
  <c r="H3" i="9"/>
  <c r="G3" i="9"/>
  <c r="I3" i="9" s="1"/>
  <c r="O4" i="9"/>
  <c r="F4" i="9"/>
  <c r="D2" i="9"/>
  <c r="O3" i="9"/>
  <c r="F5" i="8"/>
  <c r="D2" i="8"/>
  <c r="H2" i="8" s="1"/>
  <c r="M2" i="8"/>
  <c r="C4" i="8"/>
  <c r="G2" i="6"/>
  <c r="F5" i="6"/>
  <c r="C6" i="6"/>
  <c r="B4" i="6"/>
  <c r="M4" i="6"/>
  <c r="O4" i="6" s="1"/>
  <c r="D3" i="6"/>
  <c r="E3" i="4"/>
  <c r="F5" i="10" l="1"/>
  <c r="H2" i="10"/>
  <c r="G2" i="10"/>
  <c r="O4" i="10"/>
  <c r="D3" i="10"/>
  <c r="D4" i="9"/>
  <c r="O5" i="9"/>
  <c r="G2" i="9"/>
  <c r="H2" i="9"/>
  <c r="R3" i="9"/>
  <c r="F5" i="9"/>
  <c r="M4" i="8"/>
  <c r="O4" i="8" s="1"/>
  <c r="P4" i="8" s="1"/>
  <c r="D3" i="8"/>
  <c r="H3" i="8" s="1"/>
  <c r="N5" i="8"/>
  <c r="C5" i="8"/>
  <c r="G2" i="8"/>
  <c r="F6" i="8"/>
  <c r="G3" i="6"/>
  <c r="I3" i="6" s="1"/>
  <c r="C7" i="6"/>
  <c r="N7" i="6"/>
  <c r="F6" i="6"/>
  <c r="D4" i="6"/>
  <c r="B5" i="6"/>
  <c r="M5" i="6"/>
  <c r="O5" i="6" s="1"/>
  <c r="E4" i="4"/>
  <c r="G3" i="10" l="1"/>
  <c r="I3" i="10" s="1"/>
  <c r="H3" i="10"/>
  <c r="O5" i="10"/>
  <c r="D4" i="10"/>
  <c r="F6" i="10"/>
  <c r="S3" i="9"/>
  <c r="O6" i="9"/>
  <c r="D5" i="9"/>
  <c r="F6" i="9"/>
  <c r="H4" i="9"/>
  <c r="G4" i="9"/>
  <c r="I4" i="9" s="1"/>
  <c r="F7" i="8"/>
  <c r="G3" i="8"/>
  <c r="I3" i="8" s="1"/>
  <c r="N6" i="8"/>
  <c r="C6" i="8"/>
  <c r="D4" i="8"/>
  <c r="H4" i="8" s="1"/>
  <c r="M5" i="8"/>
  <c r="O5" i="8" s="1"/>
  <c r="P5" i="8" s="1"/>
  <c r="N8" i="6"/>
  <c r="C8" i="6"/>
  <c r="G4" i="6"/>
  <c r="I4" i="6" s="1"/>
  <c r="B6" i="6"/>
  <c r="M6" i="6"/>
  <c r="O6" i="6" s="1"/>
  <c r="D5" i="6"/>
  <c r="F7" i="6"/>
  <c r="R3" i="6"/>
  <c r="E5" i="4"/>
  <c r="R3" i="10" l="1"/>
  <c r="F7" i="10"/>
  <c r="H4" i="10"/>
  <c r="R4" i="10" s="1"/>
  <c r="S4" i="10" s="1"/>
  <c r="G4" i="10"/>
  <c r="I4" i="10" s="1"/>
  <c r="O6" i="10"/>
  <c r="D5" i="10"/>
  <c r="R4" i="9"/>
  <c r="D6" i="9"/>
  <c r="O7" i="9"/>
  <c r="F7" i="9"/>
  <c r="H5" i="9"/>
  <c r="G5" i="9"/>
  <c r="I5" i="9" s="1"/>
  <c r="M6" i="8"/>
  <c r="O6" i="8" s="1"/>
  <c r="P6" i="8" s="1"/>
  <c r="D5" i="8"/>
  <c r="H5" i="8" s="1"/>
  <c r="N7" i="8"/>
  <c r="C7" i="8"/>
  <c r="G4" i="8"/>
  <c r="I4" i="8" s="1"/>
  <c r="R3" i="8"/>
  <c r="F8" i="8"/>
  <c r="G5" i="6"/>
  <c r="I5" i="6" s="1"/>
  <c r="N9" i="6"/>
  <c r="C9" i="6"/>
  <c r="M7" i="6"/>
  <c r="O7" i="6" s="1"/>
  <c r="B7" i="6"/>
  <c r="D6" i="6"/>
  <c r="S3" i="6"/>
  <c r="R4" i="6"/>
  <c r="S4" i="6" s="1"/>
  <c r="F8" i="6"/>
  <c r="E6" i="4"/>
  <c r="S4" i="9" l="1"/>
  <c r="D6" i="10"/>
  <c r="O7" i="10"/>
  <c r="F8" i="10"/>
  <c r="S3" i="10"/>
  <c r="G5" i="10"/>
  <c r="I5" i="10" s="1"/>
  <c r="H5" i="10"/>
  <c r="R5" i="10" s="1"/>
  <c r="S5" i="10" s="1"/>
  <c r="R5" i="9"/>
  <c r="S5" i="9" s="1"/>
  <c r="F8" i="9"/>
  <c r="G6" i="9"/>
  <c r="I6" i="9" s="1"/>
  <c r="H6" i="9"/>
  <c r="O8" i="9"/>
  <c r="D7" i="9"/>
  <c r="R4" i="8"/>
  <c r="S4" i="8" s="1"/>
  <c r="N8" i="8"/>
  <c r="C8" i="8"/>
  <c r="S3" i="8"/>
  <c r="G5" i="8"/>
  <c r="I5" i="8" s="1"/>
  <c r="M7" i="8"/>
  <c r="O7" i="8" s="1"/>
  <c r="P7" i="8" s="1"/>
  <c r="D6" i="8"/>
  <c r="H6" i="8" s="1"/>
  <c r="F9" i="8"/>
  <c r="B8" i="6"/>
  <c r="M8" i="6"/>
  <c r="O8" i="6" s="1"/>
  <c r="D7" i="6"/>
  <c r="G6" i="6"/>
  <c r="I6" i="6" s="1"/>
  <c r="N10" i="6"/>
  <c r="C10" i="6"/>
  <c r="R5" i="6"/>
  <c r="F9" i="6"/>
  <c r="E7" i="4"/>
  <c r="F9" i="10" l="1"/>
  <c r="O8" i="10"/>
  <c r="D7" i="10"/>
  <c r="H6" i="10"/>
  <c r="G6" i="10"/>
  <c r="I6" i="10" s="1"/>
  <c r="R6" i="9"/>
  <c r="S6" i="9" s="1"/>
  <c r="O9" i="9"/>
  <c r="D8" i="9"/>
  <c r="H7" i="9"/>
  <c r="G7" i="9"/>
  <c r="I7" i="9" s="1"/>
  <c r="F9" i="9"/>
  <c r="R5" i="8"/>
  <c r="S5" i="8" s="1"/>
  <c r="M8" i="8"/>
  <c r="O8" i="8" s="1"/>
  <c r="P8" i="8" s="1"/>
  <c r="D7" i="8"/>
  <c r="H7" i="8" s="1"/>
  <c r="N9" i="8"/>
  <c r="C9" i="8"/>
  <c r="G6" i="8"/>
  <c r="I6" i="8" s="1"/>
  <c r="F10" i="8"/>
  <c r="R6" i="6"/>
  <c r="S6" i="6" s="1"/>
  <c r="S5" i="6"/>
  <c r="G7" i="6"/>
  <c r="I7" i="6" s="1"/>
  <c r="F10" i="6"/>
  <c r="N11" i="6"/>
  <c r="C11" i="6"/>
  <c r="M9" i="6"/>
  <c r="O9" i="6" s="1"/>
  <c r="D8" i="6"/>
  <c r="B9" i="6"/>
  <c r="E8" i="4"/>
  <c r="R6" i="8" l="1"/>
  <c r="R6" i="10"/>
  <c r="O9" i="10"/>
  <c r="D8" i="10"/>
  <c r="G7" i="10"/>
  <c r="I7" i="10" s="1"/>
  <c r="H7" i="10"/>
  <c r="F10" i="10"/>
  <c r="H8" i="9"/>
  <c r="G8" i="9"/>
  <c r="I8" i="9" s="1"/>
  <c r="F10" i="9"/>
  <c r="R7" i="9"/>
  <c r="O10" i="9"/>
  <c r="D9" i="9"/>
  <c r="G7" i="8"/>
  <c r="I7" i="8" s="1"/>
  <c r="M9" i="8"/>
  <c r="O9" i="8" s="1"/>
  <c r="P9" i="8" s="1"/>
  <c r="D8" i="8"/>
  <c r="H8" i="8" s="1"/>
  <c r="N10" i="8"/>
  <c r="C10" i="8"/>
  <c r="F11" i="8"/>
  <c r="B10" i="6"/>
  <c r="M10" i="6"/>
  <c r="O10" i="6" s="1"/>
  <c r="D9" i="6"/>
  <c r="N12" i="6"/>
  <c r="C12" i="6"/>
  <c r="F11" i="6"/>
  <c r="R7" i="6"/>
  <c r="G8" i="6"/>
  <c r="I8" i="6" s="1"/>
  <c r="E9" i="4"/>
  <c r="S6" i="8" l="1"/>
  <c r="R7" i="8"/>
  <c r="S7" i="8" s="1"/>
  <c r="R7" i="10"/>
  <c r="S7" i="10" s="1"/>
  <c r="F11" i="10"/>
  <c r="S6" i="10"/>
  <c r="G8" i="10"/>
  <c r="I8" i="10" s="1"/>
  <c r="H8" i="10"/>
  <c r="R8" i="10" s="1"/>
  <c r="S8" i="10" s="1"/>
  <c r="O10" i="10"/>
  <c r="D9" i="10"/>
  <c r="R8" i="9"/>
  <c r="S8" i="9" s="1"/>
  <c r="S7" i="9"/>
  <c r="O11" i="9"/>
  <c r="D10" i="9"/>
  <c r="F11" i="9"/>
  <c r="H9" i="9"/>
  <c r="R9" i="9" s="1"/>
  <c r="S9" i="9" s="1"/>
  <c r="G9" i="9"/>
  <c r="I9" i="9" s="1"/>
  <c r="C11" i="8"/>
  <c r="N11" i="8"/>
  <c r="F12" i="8"/>
  <c r="M10" i="8"/>
  <c r="O10" i="8" s="1"/>
  <c r="P10" i="8" s="1"/>
  <c r="D9" i="8"/>
  <c r="H9" i="8" s="1"/>
  <c r="G8" i="8"/>
  <c r="I8" i="8" s="1"/>
  <c r="R8" i="6"/>
  <c r="S8" i="6" s="1"/>
  <c r="F12" i="6"/>
  <c r="G9" i="6"/>
  <c r="I9" i="6" s="1"/>
  <c r="S7" i="6"/>
  <c r="N13" i="6"/>
  <c r="C13" i="6"/>
  <c r="M11" i="6"/>
  <c r="O11" i="6" s="1"/>
  <c r="D10" i="6"/>
  <c r="B11" i="6"/>
  <c r="E10" i="4"/>
  <c r="G9" i="10" l="1"/>
  <c r="I9" i="10" s="1"/>
  <c r="H9" i="10"/>
  <c r="R9" i="10" s="1"/>
  <c r="S9" i="10" s="1"/>
  <c r="D10" i="10"/>
  <c r="O11" i="10"/>
  <c r="F12" i="10"/>
  <c r="F12" i="9"/>
  <c r="G10" i="9"/>
  <c r="I10" i="9" s="1"/>
  <c r="H10" i="9"/>
  <c r="R10" i="9" s="1"/>
  <c r="S10" i="9" s="1"/>
  <c r="O12" i="9"/>
  <c r="D11" i="9"/>
  <c r="F13" i="8"/>
  <c r="R8" i="8"/>
  <c r="D10" i="8"/>
  <c r="H10" i="8" s="1"/>
  <c r="M11" i="8"/>
  <c r="O11" i="8" s="1"/>
  <c r="P11" i="8" s="1"/>
  <c r="G9" i="8"/>
  <c r="I9" i="8" s="1"/>
  <c r="R9" i="8" s="1"/>
  <c r="S9" i="8" s="1"/>
  <c r="N12" i="8"/>
  <c r="C12" i="8"/>
  <c r="B12" i="6"/>
  <c r="M12" i="6"/>
  <c r="O12" i="6" s="1"/>
  <c r="D11" i="6"/>
  <c r="N14" i="6"/>
  <c r="C14" i="6"/>
  <c r="R9" i="6"/>
  <c r="F13" i="6"/>
  <c r="G10" i="6"/>
  <c r="I10" i="6" s="1"/>
  <c r="E11" i="4"/>
  <c r="O12" i="10" l="1"/>
  <c r="D11" i="10"/>
  <c r="F13" i="10"/>
  <c r="G10" i="10"/>
  <c r="I10" i="10" s="1"/>
  <c r="H10" i="10"/>
  <c r="R10" i="10" s="1"/>
  <c r="H11" i="9"/>
  <c r="R11" i="9" s="1"/>
  <c r="S11" i="9" s="1"/>
  <c r="G11" i="9"/>
  <c r="I11" i="9" s="1"/>
  <c r="O13" i="9"/>
  <c r="D12" i="9"/>
  <c r="F13" i="9"/>
  <c r="M12" i="8"/>
  <c r="O12" i="8" s="1"/>
  <c r="P12" i="8" s="1"/>
  <c r="D11" i="8"/>
  <c r="H11" i="8" s="1"/>
  <c r="S8" i="8"/>
  <c r="C13" i="8"/>
  <c r="N13" i="8"/>
  <c r="G10" i="8"/>
  <c r="I10" i="8" s="1"/>
  <c r="F14" i="8"/>
  <c r="R10" i="6"/>
  <c r="S10" i="6" s="1"/>
  <c r="S9" i="6"/>
  <c r="G11" i="6"/>
  <c r="I11" i="6" s="1"/>
  <c r="F14" i="6"/>
  <c r="N15" i="6"/>
  <c r="C15" i="6"/>
  <c r="M13" i="6"/>
  <c r="O13" i="6" s="1"/>
  <c r="D12" i="6"/>
  <c r="B13" i="6"/>
  <c r="E12" i="4"/>
  <c r="F14" i="10" l="1"/>
  <c r="G11" i="10"/>
  <c r="I11" i="10" s="1"/>
  <c r="H11" i="10"/>
  <c r="R11" i="10" s="1"/>
  <c r="S11" i="10" s="1"/>
  <c r="O13" i="10"/>
  <c r="D12" i="10"/>
  <c r="S10" i="10"/>
  <c r="F14" i="9"/>
  <c r="H12" i="9"/>
  <c r="G12" i="9"/>
  <c r="I12" i="9" s="1"/>
  <c r="O14" i="9"/>
  <c r="D13" i="9"/>
  <c r="R10" i="8"/>
  <c r="S10" i="8" s="1"/>
  <c r="N14" i="8"/>
  <c r="C14" i="8"/>
  <c r="F15" i="8"/>
  <c r="G11" i="8"/>
  <c r="I11" i="8" s="1"/>
  <c r="D12" i="8"/>
  <c r="H12" i="8" s="1"/>
  <c r="M13" i="8"/>
  <c r="O13" i="8" s="1"/>
  <c r="P13" i="8" s="1"/>
  <c r="G12" i="6"/>
  <c r="I12" i="6" s="1"/>
  <c r="R12" i="6"/>
  <c r="S12" i="6" s="1"/>
  <c r="B14" i="6"/>
  <c r="M14" i="6"/>
  <c r="O14" i="6" s="1"/>
  <c r="D13" i="6"/>
  <c r="N16" i="6"/>
  <c r="C16" i="6"/>
  <c r="F15" i="6"/>
  <c r="R11" i="6"/>
  <c r="E13" i="4"/>
  <c r="O14" i="10" l="1"/>
  <c r="D13" i="10"/>
  <c r="H12" i="10"/>
  <c r="G12" i="10"/>
  <c r="I12" i="10" s="1"/>
  <c r="F15" i="10"/>
  <c r="O15" i="9"/>
  <c r="D14" i="9"/>
  <c r="H13" i="9"/>
  <c r="G13" i="9"/>
  <c r="I13" i="9" s="1"/>
  <c r="R12" i="9"/>
  <c r="S12" i="9" s="1"/>
  <c r="F15" i="9"/>
  <c r="R11" i="8"/>
  <c r="S11" i="8" s="1"/>
  <c r="M14" i="8"/>
  <c r="O14" i="8" s="1"/>
  <c r="P14" i="8" s="1"/>
  <c r="D13" i="8"/>
  <c r="H13" i="8" s="1"/>
  <c r="G12" i="8"/>
  <c r="I12" i="8" s="1"/>
  <c r="C15" i="8"/>
  <c r="N15" i="8"/>
  <c r="F16" i="8"/>
  <c r="N17" i="6"/>
  <c r="C17" i="6"/>
  <c r="S11" i="6"/>
  <c r="F16" i="6"/>
  <c r="G13" i="6"/>
  <c r="I13" i="6" s="1"/>
  <c r="M15" i="6"/>
  <c r="O15" i="6" s="1"/>
  <c r="D14" i="6"/>
  <c r="B15" i="6"/>
  <c r="E14" i="4"/>
  <c r="R12" i="10" l="1"/>
  <c r="S12" i="10" s="1"/>
  <c r="F16" i="10"/>
  <c r="G13" i="10"/>
  <c r="I13" i="10" s="1"/>
  <c r="H13" i="10"/>
  <c r="D14" i="10"/>
  <c r="O15" i="10"/>
  <c r="R13" i="9"/>
  <c r="S13" i="9" s="1"/>
  <c r="F16" i="9"/>
  <c r="G14" i="9"/>
  <c r="I14" i="9" s="1"/>
  <c r="H14" i="9"/>
  <c r="R14" i="9" s="1"/>
  <c r="S14" i="9" s="1"/>
  <c r="O16" i="9"/>
  <c r="D15" i="9"/>
  <c r="F17" i="8"/>
  <c r="G13" i="8"/>
  <c r="I13" i="8" s="1"/>
  <c r="N16" i="8"/>
  <c r="C16" i="8"/>
  <c r="R12" i="8"/>
  <c r="S12" i="8" s="1"/>
  <c r="M15" i="8"/>
  <c r="O15" i="8" s="1"/>
  <c r="P15" i="8" s="1"/>
  <c r="D14" i="8"/>
  <c r="H14" i="8" s="1"/>
  <c r="B16" i="6"/>
  <c r="M16" i="6"/>
  <c r="O16" i="6" s="1"/>
  <c r="D15" i="6"/>
  <c r="R13" i="6"/>
  <c r="S13" i="6" s="1"/>
  <c r="G14" i="6"/>
  <c r="I14" i="6" s="1"/>
  <c r="F17" i="6"/>
  <c r="N18" i="6"/>
  <c r="C18" i="6"/>
  <c r="E15" i="4"/>
  <c r="G14" i="10" l="1"/>
  <c r="I14" i="10" s="1"/>
  <c r="H14" i="10"/>
  <c r="R14" i="10" s="1"/>
  <c r="S14" i="10" s="1"/>
  <c r="O16" i="10"/>
  <c r="D15" i="10"/>
  <c r="F17" i="10"/>
  <c r="R13" i="10"/>
  <c r="S13" i="10" s="1"/>
  <c r="D16" i="9"/>
  <c r="O17" i="9"/>
  <c r="H15" i="9"/>
  <c r="G15" i="9"/>
  <c r="I15" i="9" s="1"/>
  <c r="F17" i="9"/>
  <c r="N17" i="8"/>
  <c r="C17" i="8"/>
  <c r="G14" i="8"/>
  <c r="I14" i="8" s="1"/>
  <c r="R14" i="8" s="1"/>
  <c r="S14" i="8" s="1"/>
  <c r="M16" i="8"/>
  <c r="O16" i="8" s="1"/>
  <c r="P16" i="8" s="1"/>
  <c r="D15" i="8"/>
  <c r="H15" i="8" s="1"/>
  <c r="R13" i="8"/>
  <c r="S13" i="8" s="1"/>
  <c r="F18" i="8"/>
  <c r="F18" i="6"/>
  <c r="R14" i="6"/>
  <c r="S14" i="6" s="1"/>
  <c r="G15" i="6"/>
  <c r="I15" i="6" s="1"/>
  <c r="N19" i="6"/>
  <c r="C19" i="6"/>
  <c r="M17" i="6"/>
  <c r="O17" i="6" s="1"/>
  <c r="B17" i="6"/>
  <c r="D16" i="6"/>
  <c r="E16" i="4"/>
  <c r="F18" i="10" l="1"/>
  <c r="D16" i="10"/>
  <c r="O17" i="10"/>
  <c r="G15" i="10"/>
  <c r="I15" i="10" s="1"/>
  <c r="H15" i="10"/>
  <c r="R15" i="10" s="1"/>
  <c r="S15" i="10" s="1"/>
  <c r="F18" i="9"/>
  <c r="R15" i="9"/>
  <c r="S15" i="9" s="1"/>
  <c r="O18" i="9"/>
  <c r="D17" i="9"/>
  <c r="H16" i="9"/>
  <c r="G16" i="9"/>
  <c r="I16" i="9" s="1"/>
  <c r="F19" i="8"/>
  <c r="D16" i="8"/>
  <c r="H16" i="8" s="1"/>
  <c r="M17" i="8"/>
  <c r="O17" i="8" s="1"/>
  <c r="P17" i="8" s="1"/>
  <c r="N18" i="8"/>
  <c r="C18" i="8"/>
  <c r="G15" i="8"/>
  <c r="I15" i="8" s="1"/>
  <c r="R15" i="6"/>
  <c r="S15" i="6" s="1"/>
  <c r="B18" i="6"/>
  <c r="M18" i="6"/>
  <c r="O18" i="6" s="1"/>
  <c r="D17" i="6"/>
  <c r="G16" i="6"/>
  <c r="I16" i="6" s="1"/>
  <c r="F19" i="6"/>
  <c r="N20" i="6"/>
  <c r="C20" i="6"/>
  <c r="E17" i="4"/>
  <c r="G16" i="10" l="1"/>
  <c r="I16" i="10" s="1"/>
  <c r="H16" i="10"/>
  <c r="R16" i="10" s="1"/>
  <c r="S16" i="10" s="1"/>
  <c r="F19" i="10"/>
  <c r="O18" i="10"/>
  <c r="D17" i="10"/>
  <c r="R16" i="9"/>
  <c r="S16" i="9" s="1"/>
  <c r="D18" i="9"/>
  <c r="O19" i="9"/>
  <c r="F19" i="9"/>
  <c r="H17" i="9"/>
  <c r="G17" i="9"/>
  <c r="I17" i="9" s="1"/>
  <c r="N19" i="8"/>
  <c r="C19" i="8"/>
  <c r="G16" i="8"/>
  <c r="I16" i="8" s="1"/>
  <c r="R15" i="8"/>
  <c r="S15" i="8" s="1"/>
  <c r="M18" i="8"/>
  <c r="O18" i="8" s="1"/>
  <c r="P18" i="8" s="1"/>
  <c r="D17" i="8"/>
  <c r="H17" i="8" s="1"/>
  <c r="F20" i="8"/>
  <c r="R16" i="6"/>
  <c r="S16" i="6" s="1"/>
  <c r="G17" i="6"/>
  <c r="I17" i="6" s="1"/>
  <c r="C21" i="6"/>
  <c r="N21" i="6"/>
  <c r="F20" i="6"/>
  <c r="B19" i="6"/>
  <c r="D18" i="6"/>
  <c r="M19" i="6"/>
  <c r="O19" i="6" s="1"/>
  <c r="E18" i="4"/>
  <c r="R16" i="8" l="1"/>
  <c r="S16" i="8" s="1"/>
  <c r="F20" i="10"/>
  <c r="G17" i="10"/>
  <c r="I17" i="10" s="1"/>
  <c r="H17" i="10"/>
  <c r="R17" i="10" s="1"/>
  <c r="S17" i="10" s="1"/>
  <c r="D18" i="10"/>
  <c r="O19" i="10"/>
  <c r="R17" i="9"/>
  <c r="S17" i="9" s="1"/>
  <c r="G18" i="9"/>
  <c r="I18" i="9" s="1"/>
  <c r="H18" i="9"/>
  <c r="R18" i="9" s="1"/>
  <c r="S18" i="9" s="1"/>
  <c r="F20" i="9"/>
  <c r="O20" i="9"/>
  <c r="D19" i="9"/>
  <c r="M19" i="8"/>
  <c r="O19" i="8" s="1"/>
  <c r="P19" i="8" s="1"/>
  <c r="D18" i="8"/>
  <c r="H18" i="8" s="1"/>
  <c r="N20" i="8"/>
  <c r="C20" i="8"/>
  <c r="F21" i="8"/>
  <c r="G17" i="8"/>
  <c r="I17" i="8" s="1"/>
  <c r="F21" i="6"/>
  <c r="B20" i="6"/>
  <c r="M20" i="6"/>
  <c r="O20" i="6" s="1"/>
  <c r="D19" i="6"/>
  <c r="G18" i="6"/>
  <c r="I18" i="6" s="1"/>
  <c r="N22" i="6"/>
  <c r="C22" i="6"/>
  <c r="R17" i="6"/>
  <c r="S17" i="6" s="1"/>
  <c r="E19" i="4"/>
  <c r="R18" i="6" l="1"/>
  <c r="S18" i="6" s="1"/>
  <c r="R17" i="8"/>
  <c r="S17" i="8" s="1"/>
  <c r="G18" i="10"/>
  <c r="I18" i="10" s="1"/>
  <c r="H18" i="10"/>
  <c r="O20" i="10"/>
  <c r="D19" i="10"/>
  <c r="F21" i="10"/>
  <c r="H19" i="9"/>
  <c r="G19" i="9"/>
  <c r="I19" i="9" s="1"/>
  <c r="F21" i="9"/>
  <c r="D20" i="9"/>
  <c r="O21" i="9"/>
  <c r="F22" i="8"/>
  <c r="N21" i="8"/>
  <c r="C21" i="8"/>
  <c r="M20" i="8"/>
  <c r="O20" i="8" s="1"/>
  <c r="P20" i="8" s="1"/>
  <c r="D19" i="8"/>
  <c r="H19" i="8" s="1"/>
  <c r="G18" i="8"/>
  <c r="I18" i="8" s="1"/>
  <c r="C23" i="6"/>
  <c r="N23" i="6"/>
  <c r="G19" i="6"/>
  <c r="I19" i="6" s="1"/>
  <c r="B21" i="6"/>
  <c r="D20" i="6"/>
  <c r="M21" i="6"/>
  <c r="O21" i="6" s="1"/>
  <c r="F22" i="6"/>
  <c r="E20" i="4"/>
  <c r="R19" i="6" l="1"/>
  <c r="S19" i="6" s="1"/>
  <c r="R18" i="8"/>
  <c r="S18" i="8" s="1"/>
  <c r="O21" i="10"/>
  <c r="D20" i="10"/>
  <c r="R18" i="10"/>
  <c r="S18" i="10" s="1"/>
  <c r="F22" i="10"/>
  <c r="G19" i="10"/>
  <c r="I19" i="10" s="1"/>
  <c r="H19" i="10"/>
  <c r="R19" i="10" s="1"/>
  <c r="S19" i="10" s="1"/>
  <c r="R19" i="9"/>
  <c r="S19" i="9" s="1"/>
  <c r="O22" i="9"/>
  <c r="D21" i="9"/>
  <c r="G20" i="9"/>
  <c r="I20" i="9" s="1"/>
  <c r="H20" i="9"/>
  <c r="R20" i="9" s="1"/>
  <c r="S20" i="9" s="1"/>
  <c r="F22" i="9"/>
  <c r="G19" i="8"/>
  <c r="I19" i="8" s="1"/>
  <c r="M21" i="8"/>
  <c r="O21" i="8" s="1"/>
  <c r="P21" i="8" s="1"/>
  <c r="D20" i="8"/>
  <c r="H20" i="8" s="1"/>
  <c r="F23" i="8"/>
  <c r="N22" i="8"/>
  <c r="C22" i="8"/>
  <c r="B22" i="6"/>
  <c r="M22" i="6"/>
  <c r="O22" i="6" s="1"/>
  <c r="D21" i="6"/>
  <c r="F23" i="6"/>
  <c r="G20" i="6"/>
  <c r="I20" i="6" s="1"/>
  <c r="N24" i="6"/>
  <c r="C24" i="6"/>
  <c r="E21" i="4"/>
  <c r="R20" i="6" l="1"/>
  <c r="S20" i="6" s="1"/>
  <c r="O22" i="10"/>
  <c r="D21" i="10"/>
  <c r="F23" i="10"/>
  <c r="G20" i="10"/>
  <c r="I20" i="10" s="1"/>
  <c r="H20" i="10"/>
  <c r="R20" i="10" s="1"/>
  <c r="S20" i="10" s="1"/>
  <c r="F23" i="9"/>
  <c r="O23" i="9"/>
  <c r="D22" i="9"/>
  <c r="H21" i="9"/>
  <c r="R21" i="9" s="1"/>
  <c r="S21" i="9" s="1"/>
  <c r="G21" i="9"/>
  <c r="I21" i="9" s="1"/>
  <c r="F24" i="8"/>
  <c r="C23" i="8"/>
  <c r="N23" i="8"/>
  <c r="G20" i="8"/>
  <c r="I20" i="8" s="1"/>
  <c r="M22" i="8"/>
  <c r="O22" i="8" s="1"/>
  <c r="P22" i="8" s="1"/>
  <c r="D21" i="8"/>
  <c r="H21" i="8" s="1"/>
  <c r="R19" i="8"/>
  <c r="S19" i="8" s="1"/>
  <c r="C25" i="6"/>
  <c r="N25" i="6"/>
  <c r="F24" i="6"/>
  <c r="R21" i="6"/>
  <c r="S21" i="6" s="1"/>
  <c r="G21" i="6"/>
  <c r="I21" i="6" s="1"/>
  <c r="B23" i="6"/>
  <c r="D22" i="6"/>
  <c r="M23" i="6"/>
  <c r="O23" i="6" s="1"/>
  <c r="E22" i="4"/>
  <c r="F24" i="10" l="1"/>
  <c r="O23" i="10"/>
  <c r="D22" i="10"/>
  <c r="G21" i="10"/>
  <c r="I21" i="10" s="1"/>
  <c r="H21" i="10"/>
  <c r="R21" i="10" s="1"/>
  <c r="S21" i="10" s="1"/>
  <c r="F24" i="9"/>
  <c r="G22" i="9"/>
  <c r="I22" i="9" s="1"/>
  <c r="H22" i="9"/>
  <c r="R22" i="9" s="1"/>
  <c r="S22" i="9" s="1"/>
  <c r="O24" i="9"/>
  <c r="D23" i="9"/>
  <c r="D22" i="8"/>
  <c r="H22" i="8" s="1"/>
  <c r="M23" i="8"/>
  <c r="O23" i="8" s="1"/>
  <c r="P23" i="8" s="1"/>
  <c r="R20" i="8"/>
  <c r="S20" i="8" s="1"/>
  <c r="G21" i="8"/>
  <c r="I21" i="8" s="1"/>
  <c r="R21" i="8" s="1"/>
  <c r="S21" i="8" s="1"/>
  <c r="F25" i="8"/>
  <c r="N24" i="8"/>
  <c r="C24" i="8"/>
  <c r="B24" i="6"/>
  <c r="M24" i="6"/>
  <c r="O24" i="6" s="1"/>
  <c r="D23" i="6"/>
  <c r="G22" i="6"/>
  <c r="I22" i="6" s="1"/>
  <c r="F25" i="6"/>
  <c r="N26" i="6"/>
  <c r="C26" i="6"/>
  <c r="E23" i="4"/>
  <c r="O24" i="10" l="1"/>
  <c r="D23" i="10"/>
  <c r="H22" i="10"/>
  <c r="G22" i="10"/>
  <c r="I22" i="10" s="1"/>
  <c r="F25" i="10"/>
  <c r="F25" i="9"/>
  <c r="H23" i="9"/>
  <c r="G23" i="9"/>
  <c r="I23" i="9" s="1"/>
  <c r="O25" i="9"/>
  <c r="D24" i="9"/>
  <c r="F26" i="8"/>
  <c r="M24" i="8"/>
  <c r="O24" i="8" s="1"/>
  <c r="P24" i="8" s="1"/>
  <c r="D23" i="8"/>
  <c r="H23" i="8" s="1"/>
  <c r="G22" i="8"/>
  <c r="I22" i="8" s="1"/>
  <c r="C25" i="8"/>
  <c r="N25" i="8"/>
  <c r="F26" i="6"/>
  <c r="C27" i="6"/>
  <c r="N27" i="6"/>
  <c r="R22" i="6"/>
  <c r="S22" i="6" s="1"/>
  <c r="G23" i="6"/>
  <c r="I23" i="6" s="1"/>
  <c r="B25" i="6"/>
  <c r="D24" i="6"/>
  <c r="M25" i="6"/>
  <c r="O25" i="6" s="1"/>
  <c r="E24" i="4"/>
  <c r="R22" i="8" l="1"/>
  <c r="S22" i="8" s="1"/>
  <c r="R22" i="10"/>
  <c r="S22" i="10" s="1"/>
  <c r="O25" i="10"/>
  <c r="D24" i="10"/>
  <c r="G23" i="10"/>
  <c r="I23" i="10" s="1"/>
  <c r="H23" i="10"/>
  <c r="R23" i="10" s="1"/>
  <c r="S23" i="10" s="1"/>
  <c r="F26" i="10"/>
  <c r="R23" i="9"/>
  <c r="S23" i="9" s="1"/>
  <c r="O26" i="9"/>
  <c r="D25" i="9"/>
  <c r="H24" i="9"/>
  <c r="G24" i="9"/>
  <c r="I24" i="9" s="1"/>
  <c r="F26" i="9"/>
  <c r="G23" i="8"/>
  <c r="I23" i="8" s="1"/>
  <c r="D24" i="8"/>
  <c r="H24" i="8" s="1"/>
  <c r="M25" i="8"/>
  <c r="O25" i="8" s="1"/>
  <c r="P25" i="8" s="1"/>
  <c r="N26" i="8"/>
  <c r="C26" i="8"/>
  <c r="F27" i="8"/>
  <c r="R23" i="6"/>
  <c r="S23" i="6" s="1"/>
  <c r="N28" i="6"/>
  <c r="C28" i="6"/>
  <c r="B26" i="6"/>
  <c r="M26" i="6"/>
  <c r="O26" i="6" s="1"/>
  <c r="D25" i="6"/>
  <c r="G24" i="6"/>
  <c r="I24" i="6" s="1"/>
  <c r="R24" i="6"/>
  <c r="S24" i="6" s="1"/>
  <c r="F27" i="6"/>
  <c r="E25" i="4"/>
  <c r="O26" i="10" l="1"/>
  <c r="D25" i="10"/>
  <c r="F27" i="10"/>
  <c r="H24" i="10"/>
  <c r="G24" i="10"/>
  <c r="I24" i="10" s="1"/>
  <c r="R24" i="9"/>
  <c r="S24" i="9" s="1"/>
  <c r="H25" i="9"/>
  <c r="G25" i="9"/>
  <c r="I25" i="9" s="1"/>
  <c r="O27" i="9"/>
  <c r="D26" i="9"/>
  <c r="F27" i="9"/>
  <c r="C27" i="8"/>
  <c r="N27" i="8"/>
  <c r="M26" i="8"/>
  <c r="O26" i="8" s="1"/>
  <c r="P26" i="8" s="1"/>
  <c r="D25" i="8"/>
  <c r="H25" i="8" s="1"/>
  <c r="G24" i="8"/>
  <c r="I24" i="8" s="1"/>
  <c r="R24" i="8" s="1"/>
  <c r="S24" i="8" s="1"/>
  <c r="F28" i="8"/>
  <c r="R23" i="8"/>
  <c r="S23" i="8" s="1"/>
  <c r="R25" i="6"/>
  <c r="S25" i="6" s="1"/>
  <c r="G25" i="6"/>
  <c r="I25" i="6" s="1"/>
  <c r="F28" i="6"/>
  <c r="B27" i="6"/>
  <c r="D26" i="6"/>
  <c r="M27" i="6"/>
  <c r="O27" i="6" s="1"/>
  <c r="C29" i="6"/>
  <c r="N29" i="6"/>
  <c r="E26" i="4"/>
  <c r="R24" i="10" l="1"/>
  <c r="S24" i="10" s="1"/>
  <c r="F28" i="10"/>
  <c r="G25" i="10"/>
  <c r="I25" i="10" s="1"/>
  <c r="H25" i="10"/>
  <c r="R25" i="10" s="1"/>
  <c r="S25" i="10" s="1"/>
  <c r="D26" i="10"/>
  <c r="O27" i="10"/>
  <c r="R25" i="9"/>
  <c r="S25" i="9" s="1"/>
  <c r="F28" i="9"/>
  <c r="G26" i="9"/>
  <c r="I26" i="9" s="1"/>
  <c r="H26" i="9"/>
  <c r="R26" i="9" s="1"/>
  <c r="S26" i="9" s="1"/>
  <c r="O28" i="9"/>
  <c r="D27" i="9"/>
  <c r="F29" i="8"/>
  <c r="M27" i="8"/>
  <c r="O27" i="8" s="1"/>
  <c r="P27" i="8" s="1"/>
  <c r="D26" i="8"/>
  <c r="H26" i="8" s="1"/>
  <c r="R25" i="8"/>
  <c r="S25" i="8" s="1"/>
  <c r="G25" i="8"/>
  <c r="I25" i="8" s="1"/>
  <c r="N28" i="8"/>
  <c r="C28" i="8"/>
  <c r="R26" i="6"/>
  <c r="S26" i="6" s="1"/>
  <c r="G26" i="6"/>
  <c r="I26" i="6" s="1"/>
  <c r="N30" i="6"/>
  <c r="C30" i="6"/>
  <c r="F29" i="6"/>
  <c r="B28" i="6"/>
  <c r="M28" i="6"/>
  <c r="O28" i="6" s="1"/>
  <c r="D27" i="6"/>
  <c r="E27" i="4"/>
  <c r="O28" i="10" l="1"/>
  <c r="D27" i="10"/>
  <c r="H26" i="10"/>
  <c r="G26" i="10"/>
  <c r="I26" i="10" s="1"/>
  <c r="F29" i="10"/>
  <c r="H27" i="9"/>
  <c r="G27" i="9"/>
  <c r="I27" i="9" s="1"/>
  <c r="O29" i="9"/>
  <c r="D28" i="9"/>
  <c r="F29" i="9"/>
  <c r="N29" i="8"/>
  <c r="C29" i="8"/>
  <c r="M28" i="8"/>
  <c r="O28" i="8" s="1"/>
  <c r="P28" i="8" s="1"/>
  <c r="D27" i="8"/>
  <c r="H27" i="8" s="1"/>
  <c r="G26" i="8"/>
  <c r="I26" i="8" s="1"/>
  <c r="R26" i="8" s="1"/>
  <c r="S26" i="8" s="1"/>
  <c r="F30" i="8"/>
  <c r="R27" i="6"/>
  <c r="S27" i="6" s="1"/>
  <c r="G27" i="6"/>
  <c r="I27" i="6" s="1"/>
  <c r="C31" i="6"/>
  <c r="N31" i="6"/>
  <c r="D28" i="6"/>
  <c r="B29" i="6"/>
  <c r="M29" i="6"/>
  <c r="O29" i="6" s="1"/>
  <c r="F30" i="6"/>
  <c r="E28" i="4"/>
  <c r="R26" i="10" l="1"/>
  <c r="S26" i="10" s="1"/>
  <c r="D28" i="10"/>
  <c r="O29" i="10"/>
  <c r="F30" i="10"/>
  <c r="G27" i="10"/>
  <c r="I27" i="10" s="1"/>
  <c r="H27" i="10"/>
  <c r="G28" i="9"/>
  <c r="I28" i="9" s="1"/>
  <c r="H28" i="9"/>
  <c r="R28" i="9" s="1"/>
  <c r="S28" i="9" s="1"/>
  <c r="F30" i="9"/>
  <c r="O30" i="9"/>
  <c r="D29" i="9"/>
  <c r="R27" i="9"/>
  <c r="S27" i="9" s="1"/>
  <c r="F31" i="8"/>
  <c r="D28" i="8"/>
  <c r="H28" i="8" s="1"/>
  <c r="M29" i="8"/>
  <c r="O29" i="8" s="1"/>
  <c r="P29" i="8" s="1"/>
  <c r="N30" i="8"/>
  <c r="C30" i="8"/>
  <c r="G27" i="8"/>
  <c r="I27" i="8" s="1"/>
  <c r="R27" i="8" s="1"/>
  <c r="S27" i="8" s="1"/>
  <c r="N32" i="6"/>
  <c r="C32" i="6"/>
  <c r="B30" i="6"/>
  <c r="M30" i="6"/>
  <c r="O30" i="6" s="1"/>
  <c r="D29" i="6"/>
  <c r="G28" i="6"/>
  <c r="I28" i="6" s="1"/>
  <c r="F31" i="6"/>
  <c r="E29" i="4"/>
  <c r="R27" i="10" l="1"/>
  <c r="S27" i="10" s="1"/>
  <c r="O30" i="10"/>
  <c r="D29" i="10"/>
  <c r="F31" i="10"/>
  <c r="H28" i="10"/>
  <c r="R28" i="10" s="1"/>
  <c r="S28" i="10" s="1"/>
  <c r="G28" i="10"/>
  <c r="I28" i="10" s="1"/>
  <c r="O31" i="9"/>
  <c r="D30" i="9"/>
  <c r="F31" i="9"/>
  <c r="H29" i="9"/>
  <c r="R29" i="9" s="1"/>
  <c r="S29" i="9" s="1"/>
  <c r="G29" i="9"/>
  <c r="I29" i="9" s="1"/>
  <c r="G28" i="8"/>
  <c r="I28" i="8" s="1"/>
  <c r="R28" i="8" s="1"/>
  <c r="S28" i="8" s="1"/>
  <c r="F32" i="8"/>
  <c r="N31" i="8"/>
  <c r="C31" i="8"/>
  <c r="M30" i="8"/>
  <c r="O30" i="8" s="1"/>
  <c r="P30" i="8" s="1"/>
  <c r="D29" i="8"/>
  <c r="H29" i="8" s="1"/>
  <c r="R28" i="6"/>
  <c r="S28" i="6" s="1"/>
  <c r="G29" i="6"/>
  <c r="I29" i="6" s="1"/>
  <c r="C33" i="6"/>
  <c r="N33" i="6"/>
  <c r="F32" i="6"/>
  <c r="M31" i="6"/>
  <c r="O31" i="6" s="1"/>
  <c r="B31" i="6"/>
  <c r="D30" i="6"/>
  <c r="E30" i="4"/>
  <c r="D30" i="10" l="1"/>
  <c r="O31" i="10"/>
  <c r="G29" i="10"/>
  <c r="I29" i="10" s="1"/>
  <c r="H29" i="10"/>
  <c r="R29" i="10" s="1"/>
  <c r="S29" i="10" s="1"/>
  <c r="F32" i="10"/>
  <c r="G30" i="9"/>
  <c r="I30" i="9" s="1"/>
  <c r="H30" i="9"/>
  <c r="R30" i="9" s="1"/>
  <c r="S30" i="9" s="1"/>
  <c r="F32" i="9"/>
  <c r="O32" i="9"/>
  <c r="D31" i="9"/>
  <c r="G29" i="8"/>
  <c r="I29" i="8" s="1"/>
  <c r="N32" i="8"/>
  <c r="C32" i="8"/>
  <c r="M31" i="8"/>
  <c r="O31" i="8" s="1"/>
  <c r="P31" i="8" s="1"/>
  <c r="D30" i="8"/>
  <c r="H30" i="8" s="1"/>
  <c r="F33" i="8"/>
  <c r="R29" i="6"/>
  <c r="S29" i="6" s="1"/>
  <c r="B32" i="6"/>
  <c r="M32" i="6"/>
  <c r="O32" i="6" s="1"/>
  <c r="D31" i="6"/>
  <c r="F33" i="6"/>
  <c r="G30" i="6"/>
  <c r="I30" i="6" s="1"/>
  <c r="N34" i="6"/>
  <c r="C34" i="6"/>
  <c r="E31" i="4"/>
  <c r="R30" i="6" l="1"/>
  <c r="S30" i="6" s="1"/>
  <c r="F33" i="10"/>
  <c r="H30" i="10"/>
  <c r="G30" i="10"/>
  <c r="I30" i="10" s="1"/>
  <c r="O32" i="10"/>
  <c r="D31" i="10"/>
  <c r="O33" i="9"/>
  <c r="D32" i="9"/>
  <c r="F33" i="9"/>
  <c r="H31" i="9"/>
  <c r="G31" i="9"/>
  <c r="I31" i="9" s="1"/>
  <c r="R29" i="8"/>
  <c r="S29" i="8" s="1"/>
  <c r="M32" i="8"/>
  <c r="O32" i="8" s="1"/>
  <c r="P32" i="8" s="1"/>
  <c r="D31" i="8"/>
  <c r="H31" i="8" s="1"/>
  <c r="F34" i="8"/>
  <c r="G30" i="8"/>
  <c r="I30" i="8" s="1"/>
  <c r="N33" i="8"/>
  <c r="C33" i="8"/>
  <c r="M33" i="6"/>
  <c r="O33" i="6" s="1"/>
  <c r="B33" i="6"/>
  <c r="D32" i="6"/>
  <c r="C35" i="6"/>
  <c r="N35" i="6"/>
  <c r="F34" i="6"/>
  <c r="R31" i="6"/>
  <c r="S31" i="6" s="1"/>
  <c r="G31" i="6"/>
  <c r="I31" i="6" s="1"/>
  <c r="E32" i="4"/>
  <c r="D32" i="10" l="1"/>
  <c r="O33" i="10"/>
  <c r="G31" i="10"/>
  <c r="I31" i="10" s="1"/>
  <c r="H31" i="10"/>
  <c r="R31" i="10" s="1"/>
  <c r="S31" i="10" s="1"/>
  <c r="F34" i="10"/>
  <c r="R30" i="10"/>
  <c r="S30" i="10" s="1"/>
  <c r="R31" i="9"/>
  <c r="S31" i="9" s="1"/>
  <c r="H32" i="9"/>
  <c r="G32" i="9"/>
  <c r="I32" i="9" s="1"/>
  <c r="F34" i="9"/>
  <c r="O34" i="9"/>
  <c r="D33" i="9"/>
  <c r="R30" i="8"/>
  <c r="S30" i="8" s="1"/>
  <c r="G31" i="8"/>
  <c r="I31" i="8" s="1"/>
  <c r="N34" i="8"/>
  <c r="C34" i="8"/>
  <c r="F35" i="8"/>
  <c r="M33" i="8"/>
  <c r="O33" i="8" s="1"/>
  <c r="P33" i="8" s="1"/>
  <c r="D32" i="8"/>
  <c r="H32" i="8" s="1"/>
  <c r="B34" i="6"/>
  <c r="M34" i="6"/>
  <c r="O34" i="6" s="1"/>
  <c r="D33" i="6"/>
  <c r="F35" i="6"/>
  <c r="N36" i="6"/>
  <c r="C36" i="6"/>
  <c r="G32" i="6"/>
  <c r="I32" i="6" s="1"/>
  <c r="R32" i="6"/>
  <c r="S32" i="6" s="1"/>
  <c r="E33" i="4"/>
  <c r="F35" i="10" l="1"/>
  <c r="H32" i="10"/>
  <c r="G32" i="10"/>
  <c r="I32" i="10" s="1"/>
  <c r="O34" i="10"/>
  <c r="D33" i="10"/>
  <c r="R32" i="9"/>
  <c r="S32" i="9" s="1"/>
  <c r="O35" i="9"/>
  <c r="D34" i="9"/>
  <c r="H33" i="9"/>
  <c r="R33" i="9" s="1"/>
  <c r="S33" i="9" s="1"/>
  <c r="G33" i="9"/>
  <c r="I33" i="9" s="1"/>
  <c r="F35" i="9"/>
  <c r="R31" i="8"/>
  <c r="S31" i="8" s="1"/>
  <c r="M34" i="8"/>
  <c r="O34" i="8" s="1"/>
  <c r="P34" i="8" s="1"/>
  <c r="D33" i="8"/>
  <c r="H33" i="8" s="1"/>
  <c r="C35" i="8"/>
  <c r="N35" i="8"/>
  <c r="F36" i="8"/>
  <c r="G32" i="8"/>
  <c r="I32" i="8" s="1"/>
  <c r="R32" i="8" s="1"/>
  <c r="S32" i="8" s="1"/>
  <c r="F36" i="6"/>
  <c r="G33" i="6"/>
  <c r="I33" i="6" s="1"/>
  <c r="C37" i="6"/>
  <c r="N37" i="6"/>
  <c r="B35" i="6"/>
  <c r="M35" i="6"/>
  <c r="O35" i="6" s="1"/>
  <c r="D34" i="6"/>
  <c r="E34" i="4"/>
  <c r="R32" i="10" l="1"/>
  <c r="S32" i="10" s="1"/>
  <c r="F36" i="10"/>
  <c r="D34" i="10"/>
  <c r="O35" i="10"/>
  <c r="G33" i="10"/>
  <c r="I33" i="10" s="1"/>
  <c r="H33" i="10"/>
  <c r="F36" i="9"/>
  <c r="O36" i="9"/>
  <c r="D35" i="9"/>
  <c r="G34" i="9"/>
  <c r="I34" i="9" s="1"/>
  <c r="H34" i="9"/>
  <c r="R34" i="9" s="1"/>
  <c r="S34" i="9" s="1"/>
  <c r="F37" i="8"/>
  <c r="N36" i="8"/>
  <c r="C36" i="8"/>
  <c r="R33" i="8"/>
  <c r="S33" i="8" s="1"/>
  <c r="G33" i="8"/>
  <c r="I33" i="8" s="1"/>
  <c r="D34" i="8"/>
  <c r="H34" i="8" s="1"/>
  <c r="M35" i="8"/>
  <c r="O35" i="8" s="1"/>
  <c r="P35" i="8" s="1"/>
  <c r="R33" i="6"/>
  <c r="S33" i="6" s="1"/>
  <c r="B36" i="6"/>
  <c r="M36" i="6"/>
  <c r="O36" i="6" s="1"/>
  <c r="D35" i="6"/>
  <c r="G34" i="6"/>
  <c r="I34" i="6" s="1"/>
  <c r="N38" i="6"/>
  <c r="C38" i="6"/>
  <c r="F37" i="6"/>
  <c r="E35" i="4"/>
  <c r="R34" i="6" l="1"/>
  <c r="S34" i="6" s="1"/>
  <c r="R33" i="10"/>
  <c r="S33" i="10" s="1"/>
  <c r="O36" i="10"/>
  <c r="D35" i="10"/>
  <c r="F37" i="10"/>
  <c r="H34" i="10"/>
  <c r="G34" i="10"/>
  <c r="I34" i="10" s="1"/>
  <c r="H35" i="9"/>
  <c r="G35" i="9"/>
  <c r="I35" i="9" s="1"/>
  <c r="O37" i="9"/>
  <c r="D36" i="9"/>
  <c r="F37" i="9"/>
  <c r="M36" i="8"/>
  <c r="O36" i="8" s="1"/>
  <c r="P36" i="8" s="1"/>
  <c r="D35" i="8"/>
  <c r="H35" i="8" s="1"/>
  <c r="C37" i="8"/>
  <c r="N37" i="8"/>
  <c r="G34" i="8"/>
  <c r="I34" i="8" s="1"/>
  <c r="R34" i="8" s="1"/>
  <c r="S34" i="8" s="1"/>
  <c r="F38" i="8"/>
  <c r="G35" i="6"/>
  <c r="I35" i="6" s="1"/>
  <c r="C39" i="6"/>
  <c r="N39" i="6"/>
  <c r="F38" i="6"/>
  <c r="D36" i="6"/>
  <c r="B37" i="6"/>
  <c r="M37" i="6"/>
  <c r="O37" i="6" s="1"/>
  <c r="E36" i="4"/>
  <c r="R35" i="6" l="1"/>
  <c r="S35" i="6" s="1"/>
  <c r="R34" i="10"/>
  <c r="S34" i="10" s="1"/>
  <c r="O37" i="10"/>
  <c r="D36" i="10"/>
  <c r="F38" i="10"/>
  <c r="G35" i="10"/>
  <c r="I35" i="10" s="1"/>
  <c r="H35" i="10"/>
  <c r="F38" i="9"/>
  <c r="O38" i="9"/>
  <c r="D37" i="9"/>
  <c r="H36" i="9"/>
  <c r="R36" i="9" s="1"/>
  <c r="S36" i="9" s="1"/>
  <c r="G36" i="9"/>
  <c r="I36" i="9" s="1"/>
  <c r="R35" i="9"/>
  <c r="S35" i="9" s="1"/>
  <c r="N38" i="8"/>
  <c r="C38" i="8"/>
  <c r="F39" i="8"/>
  <c r="R35" i="8"/>
  <c r="S35" i="8" s="1"/>
  <c r="G35" i="8"/>
  <c r="I35" i="8" s="1"/>
  <c r="M37" i="8"/>
  <c r="O37" i="8" s="1"/>
  <c r="P37" i="8" s="1"/>
  <c r="D36" i="8"/>
  <c r="H36" i="8" s="1"/>
  <c r="G36" i="6"/>
  <c r="I36" i="6" s="1"/>
  <c r="F39" i="6"/>
  <c r="N40" i="6"/>
  <c r="C40" i="6"/>
  <c r="B38" i="6"/>
  <c r="M38" i="6"/>
  <c r="O38" i="6" s="1"/>
  <c r="D37" i="6"/>
  <c r="E37" i="4"/>
  <c r="R35" i="10" l="1"/>
  <c r="S35" i="10" s="1"/>
  <c r="H36" i="10"/>
  <c r="G36" i="10"/>
  <c r="I36" i="10" s="1"/>
  <c r="O38" i="10"/>
  <c r="D37" i="10"/>
  <c r="F39" i="10"/>
  <c r="H37" i="9"/>
  <c r="G37" i="9"/>
  <c r="I37" i="9" s="1"/>
  <c r="O39" i="9"/>
  <c r="D38" i="9"/>
  <c r="F39" i="9"/>
  <c r="M38" i="8"/>
  <c r="O38" i="8" s="1"/>
  <c r="P38" i="8" s="1"/>
  <c r="D37" i="8"/>
  <c r="H37" i="8" s="1"/>
  <c r="G36" i="8"/>
  <c r="I36" i="8" s="1"/>
  <c r="F40" i="8"/>
  <c r="C39" i="8"/>
  <c r="N39" i="8"/>
  <c r="R36" i="6"/>
  <c r="S36" i="6" s="1"/>
  <c r="G37" i="6"/>
  <c r="I37" i="6" s="1"/>
  <c r="D38" i="6"/>
  <c r="M39" i="6"/>
  <c r="O39" i="6" s="1"/>
  <c r="B39" i="6"/>
  <c r="F40" i="6"/>
  <c r="C41" i="6"/>
  <c r="N41" i="6"/>
  <c r="E38" i="4"/>
  <c r="D38" i="10" l="1"/>
  <c r="O39" i="10"/>
  <c r="G37" i="10"/>
  <c r="I37" i="10" s="1"/>
  <c r="H37" i="10"/>
  <c r="F40" i="10"/>
  <c r="R36" i="10"/>
  <c r="S36" i="10" s="1"/>
  <c r="F40" i="9"/>
  <c r="G38" i="9"/>
  <c r="I38" i="9" s="1"/>
  <c r="H38" i="9"/>
  <c r="R38" i="9" s="1"/>
  <c r="S38" i="9" s="1"/>
  <c r="O40" i="9"/>
  <c r="D39" i="9"/>
  <c r="R37" i="9"/>
  <c r="S37" i="9" s="1"/>
  <c r="F41" i="8"/>
  <c r="R36" i="8"/>
  <c r="S36" i="8" s="1"/>
  <c r="G37" i="8"/>
  <c r="I37" i="8" s="1"/>
  <c r="N40" i="8"/>
  <c r="C40" i="8"/>
  <c r="D38" i="8"/>
  <c r="H38" i="8" s="1"/>
  <c r="M39" i="8"/>
  <c r="O39" i="8" s="1"/>
  <c r="P39" i="8" s="1"/>
  <c r="R37" i="6"/>
  <c r="S37" i="6" s="1"/>
  <c r="F41" i="6"/>
  <c r="G38" i="6"/>
  <c r="I38" i="6" s="1"/>
  <c r="N42" i="6"/>
  <c r="C42" i="6"/>
  <c r="B40" i="6"/>
  <c r="M40" i="6"/>
  <c r="O40" i="6" s="1"/>
  <c r="D39" i="6"/>
  <c r="E39" i="4"/>
  <c r="R37" i="10" l="1"/>
  <c r="S37" i="10" s="1"/>
  <c r="O40" i="10"/>
  <c r="D39" i="10"/>
  <c r="H38" i="10"/>
  <c r="R38" i="10" s="1"/>
  <c r="S38" i="10" s="1"/>
  <c r="G38" i="10"/>
  <c r="I38" i="10" s="1"/>
  <c r="F41" i="10"/>
  <c r="H39" i="9"/>
  <c r="R39" i="9" s="1"/>
  <c r="S39" i="9" s="1"/>
  <c r="G39" i="9"/>
  <c r="I39" i="9" s="1"/>
  <c r="O41" i="9"/>
  <c r="D40" i="9"/>
  <c r="F41" i="9"/>
  <c r="G38" i="8"/>
  <c r="I38" i="8" s="1"/>
  <c r="R38" i="8" s="1"/>
  <c r="S38" i="8" s="1"/>
  <c r="R37" i="8"/>
  <c r="S37" i="8" s="1"/>
  <c r="C41" i="8"/>
  <c r="N41" i="8"/>
  <c r="M40" i="8"/>
  <c r="O40" i="8" s="1"/>
  <c r="P40" i="8" s="1"/>
  <c r="D39" i="8"/>
  <c r="H39" i="8" s="1"/>
  <c r="F42" i="8"/>
  <c r="R38" i="6"/>
  <c r="S38" i="6" s="1"/>
  <c r="G39" i="6"/>
  <c r="I39" i="6" s="1"/>
  <c r="C43" i="6"/>
  <c r="N43" i="6"/>
  <c r="F42" i="6"/>
  <c r="M41" i="6"/>
  <c r="O41" i="6" s="1"/>
  <c r="B41" i="6"/>
  <c r="D40" i="6"/>
  <c r="E40" i="4"/>
  <c r="D40" i="10" l="1"/>
  <c r="O41" i="10"/>
  <c r="G39" i="10"/>
  <c r="I39" i="10" s="1"/>
  <c r="H39" i="10"/>
  <c r="F42" i="10"/>
  <c r="F42" i="9"/>
  <c r="H40" i="9"/>
  <c r="R40" i="9" s="1"/>
  <c r="S40" i="9" s="1"/>
  <c r="G40" i="9"/>
  <c r="I40" i="9" s="1"/>
  <c r="O42" i="9"/>
  <c r="D41" i="9"/>
  <c r="G39" i="8"/>
  <c r="I39" i="8" s="1"/>
  <c r="N42" i="8"/>
  <c r="C42" i="8"/>
  <c r="M41" i="8"/>
  <c r="O41" i="8" s="1"/>
  <c r="P41" i="8" s="1"/>
  <c r="D40" i="8"/>
  <c r="H40" i="8" s="1"/>
  <c r="F43" i="8"/>
  <c r="R39" i="6"/>
  <c r="S39" i="6" s="1"/>
  <c r="G40" i="6"/>
  <c r="I40" i="6" s="1"/>
  <c r="N44" i="6"/>
  <c r="C44" i="6"/>
  <c r="B42" i="6"/>
  <c r="M42" i="6"/>
  <c r="O42" i="6" s="1"/>
  <c r="D41" i="6"/>
  <c r="F43" i="6"/>
  <c r="E41" i="4"/>
  <c r="R39" i="10" l="1"/>
  <c r="S39" i="10" s="1"/>
  <c r="O42" i="10"/>
  <c r="D41" i="10"/>
  <c r="F43" i="10"/>
  <c r="H40" i="10"/>
  <c r="G40" i="10"/>
  <c r="I40" i="10" s="1"/>
  <c r="H41" i="9"/>
  <c r="G41" i="9"/>
  <c r="I41" i="9" s="1"/>
  <c r="O43" i="9"/>
  <c r="D42" i="9"/>
  <c r="F43" i="9"/>
  <c r="R39" i="8"/>
  <c r="S39" i="8" s="1"/>
  <c r="M42" i="8"/>
  <c r="O42" i="8" s="1"/>
  <c r="P42" i="8" s="1"/>
  <c r="D41" i="8"/>
  <c r="H41" i="8" s="1"/>
  <c r="N43" i="8"/>
  <c r="C43" i="8"/>
  <c r="F44" i="8"/>
  <c r="G40" i="8"/>
  <c r="I40" i="8" s="1"/>
  <c r="R40" i="8" s="1"/>
  <c r="S40" i="8" s="1"/>
  <c r="R40" i="6"/>
  <c r="S40" i="6" s="1"/>
  <c r="F44" i="6"/>
  <c r="C45" i="6"/>
  <c r="N45" i="6"/>
  <c r="D42" i="6"/>
  <c r="B43" i="6"/>
  <c r="M43" i="6"/>
  <c r="O43" i="6" s="1"/>
  <c r="G41" i="6"/>
  <c r="I41" i="6" s="1"/>
  <c r="E42" i="4"/>
  <c r="R40" i="10" l="1"/>
  <c r="S40" i="10" s="1"/>
  <c r="F44" i="10"/>
  <c r="O43" i="10"/>
  <c r="D42" i="10"/>
  <c r="G41" i="10"/>
  <c r="I41" i="10" s="1"/>
  <c r="H41" i="10"/>
  <c r="F44" i="9"/>
  <c r="G42" i="9"/>
  <c r="I42" i="9" s="1"/>
  <c r="H42" i="9"/>
  <c r="R42" i="9" s="1"/>
  <c r="S42" i="9" s="1"/>
  <c r="O44" i="9"/>
  <c r="D43" i="9"/>
  <c r="R41" i="9"/>
  <c r="S41" i="9" s="1"/>
  <c r="G41" i="8"/>
  <c r="I41" i="8" s="1"/>
  <c r="F45" i="8"/>
  <c r="N44" i="8"/>
  <c r="C44" i="8"/>
  <c r="M43" i="8"/>
  <c r="O43" i="8" s="1"/>
  <c r="P43" i="8" s="1"/>
  <c r="D42" i="8"/>
  <c r="H42" i="8" s="1"/>
  <c r="R41" i="6"/>
  <c r="S41" i="6" s="1"/>
  <c r="N46" i="6"/>
  <c r="C46" i="6"/>
  <c r="B44" i="6"/>
  <c r="M44" i="6"/>
  <c r="O44" i="6" s="1"/>
  <c r="D43" i="6"/>
  <c r="R42" i="6"/>
  <c r="S42" i="6" s="1"/>
  <c r="G42" i="6"/>
  <c r="I42" i="6" s="1"/>
  <c r="F45" i="6"/>
  <c r="E43" i="4"/>
  <c r="R41" i="10" l="1"/>
  <c r="S41" i="10" s="1"/>
  <c r="O44" i="10"/>
  <c r="D43" i="10"/>
  <c r="G42" i="10"/>
  <c r="I42" i="10" s="1"/>
  <c r="H42" i="10"/>
  <c r="F45" i="10"/>
  <c r="O45" i="9"/>
  <c r="D44" i="9"/>
  <c r="H43" i="9"/>
  <c r="G43" i="9"/>
  <c r="I43" i="9" s="1"/>
  <c r="F45" i="9"/>
  <c r="R41" i="8"/>
  <c r="S41" i="8" s="1"/>
  <c r="N45" i="8"/>
  <c r="C45" i="8"/>
  <c r="F46" i="8"/>
  <c r="G42" i="8"/>
  <c r="I42" i="8" s="1"/>
  <c r="R42" i="8" s="1"/>
  <c r="S42" i="8" s="1"/>
  <c r="M44" i="8"/>
  <c r="O44" i="8" s="1"/>
  <c r="P44" i="8" s="1"/>
  <c r="D43" i="8"/>
  <c r="H43" i="8" s="1"/>
  <c r="D44" i="6"/>
  <c r="M45" i="6"/>
  <c r="O45" i="6" s="1"/>
  <c r="B45" i="6"/>
  <c r="R43" i="6"/>
  <c r="S43" i="6" s="1"/>
  <c r="G43" i="6"/>
  <c r="I43" i="6" s="1"/>
  <c r="C47" i="6"/>
  <c r="N47" i="6"/>
  <c r="F46" i="6"/>
  <c r="E44" i="4"/>
  <c r="R42" i="10" l="1"/>
  <c r="S42" i="10" s="1"/>
  <c r="F46" i="10"/>
  <c r="O45" i="10"/>
  <c r="D44" i="10"/>
  <c r="G43" i="10"/>
  <c r="I43" i="10" s="1"/>
  <c r="H43" i="10"/>
  <c r="R43" i="10" s="1"/>
  <c r="S43" i="10" s="1"/>
  <c r="R43" i="9"/>
  <c r="S43" i="9" s="1"/>
  <c r="O46" i="9"/>
  <c r="D45" i="9"/>
  <c r="F46" i="9"/>
  <c r="H44" i="9"/>
  <c r="R44" i="9" s="1"/>
  <c r="S44" i="9" s="1"/>
  <c r="G44" i="9"/>
  <c r="I44" i="9" s="1"/>
  <c r="F47" i="8"/>
  <c r="N46" i="8"/>
  <c r="C46" i="8"/>
  <c r="M45" i="8"/>
  <c r="O45" i="8" s="1"/>
  <c r="P45" i="8" s="1"/>
  <c r="D44" i="8"/>
  <c r="H44" i="8" s="1"/>
  <c r="G43" i="8"/>
  <c r="I43" i="8" s="1"/>
  <c r="R43" i="8" s="1"/>
  <c r="S43" i="8" s="1"/>
  <c r="F47" i="6"/>
  <c r="N48" i="6"/>
  <c r="C48" i="6"/>
  <c r="G44" i="6"/>
  <c r="I44" i="6" s="1"/>
  <c r="B46" i="6"/>
  <c r="M46" i="6"/>
  <c r="O46" i="6" s="1"/>
  <c r="D45" i="6"/>
  <c r="E45" i="4"/>
  <c r="O46" i="10" l="1"/>
  <c r="D45" i="10"/>
  <c r="F47" i="10"/>
  <c r="G44" i="10"/>
  <c r="I44" i="10" s="1"/>
  <c r="H44" i="10"/>
  <c r="R44" i="10" s="1"/>
  <c r="S44" i="10" s="1"/>
  <c r="F47" i="9"/>
  <c r="H45" i="9"/>
  <c r="G45" i="9"/>
  <c r="I45" i="9" s="1"/>
  <c r="D46" i="9"/>
  <c r="O47" i="9"/>
  <c r="D45" i="8"/>
  <c r="H45" i="8" s="1"/>
  <c r="M46" i="8"/>
  <c r="O46" i="8" s="1"/>
  <c r="P46" i="8" s="1"/>
  <c r="G44" i="8"/>
  <c r="I44" i="8" s="1"/>
  <c r="N47" i="8"/>
  <c r="C47" i="8"/>
  <c r="F48" i="8"/>
  <c r="R44" i="6"/>
  <c r="S44" i="6" s="1"/>
  <c r="M47" i="6"/>
  <c r="O47" i="6" s="1"/>
  <c r="D46" i="6"/>
  <c r="B47" i="6"/>
  <c r="R45" i="6"/>
  <c r="S45" i="6" s="1"/>
  <c r="G45" i="6"/>
  <c r="I45" i="6" s="1"/>
  <c r="C49" i="6"/>
  <c r="N49" i="6"/>
  <c r="F48" i="6"/>
  <c r="E46" i="4"/>
  <c r="R44" i="8" l="1"/>
  <c r="S44" i="8" s="1"/>
  <c r="O47" i="10"/>
  <c r="D46" i="10"/>
  <c r="G45" i="10"/>
  <c r="I45" i="10" s="1"/>
  <c r="H45" i="10"/>
  <c r="R45" i="10" s="1"/>
  <c r="S45" i="10" s="1"/>
  <c r="F48" i="10"/>
  <c r="R45" i="9"/>
  <c r="S45" i="9" s="1"/>
  <c r="O48" i="9"/>
  <c r="D47" i="9"/>
  <c r="G46" i="9"/>
  <c r="I46" i="9" s="1"/>
  <c r="H46" i="9"/>
  <c r="R46" i="9" s="1"/>
  <c r="S46" i="9" s="1"/>
  <c r="F48" i="9"/>
  <c r="F49" i="8"/>
  <c r="N48" i="8"/>
  <c r="C48" i="8"/>
  <c r="G45" i="8"/>
  <c r="I45" i="8" s="1"/>
  <c r="R45" i="8" s="1"/>
  <c r="S45" i="8" s="1"/>
  <c r="M47" i="8"/>
  <c r="O47" i="8" s="1"/>
  <c r="P47" i="8" s="1"/>
  <c r="D46" i="8"/>
  <c r="H46" i="8" s="1"/>
  <c r="B48" i="6"/>
  <c r="M48" i="6"/>
  <c r="O48" i="6" s="1"/>
  <c r="D47" i="6"/>
  <c r="N50" i="6"/>
  <c r="C50" i="6"/>
  <c r="G46" i="6"/>
  <c r="I46" i="6" s="1"/>
  <c r="F49" i="6"/>
  <c r="E47" i="4"/>
  <c r="R46" i="6" l="1"/>
  <c r="S46" i="6" s="1"/>
  <c r="H46" i="10"/>
  <c r="G46" i="10"/>
  <c r="I46" i="10" s="1"/>
  <c r="F49" i="10"/>
  <c r="O48" i="10"/>
  <c r="D47" i="10"/>
  <c r="H47" i="9"/>
  <c r="G47" i="9"/>
  <c r="I47" i="9" s="1"/>
  <c r="F49" i="9"/>
  <c r="O49" i="9"/>
  <c r="D48" i="9"/>
  <c r="M48" i="8"/>
  <c r="O48" i="8" s="1"/>
  <c r="P48" i="8" s="1"/>
  <c r="D47" i="8"/>
  <c r="H47" i="8" s="1"/>
  <c r="G46" i="8"/>
  <c r="I46" i="8" s="1"/>
  <c r="R46" i="8" s="1"/>
  <c r="S46" i="8" s="1"/>
  <c r="N49" i="8"/>
  <c r="C49" i="8"/>
  <c r="F50" i="8"/>
  <c r="F50" i="6"/>
  <c r="C51" i="6"/>
  <c r="N51" i="6"/>
  <c r="G47" i="6"/>
  <c r="I47" i="6" s="1"/>
  <c r="D48" i="6"/>
  <c r="B49" i="6"/>
  <c r="M49" i="6"/>
  <c r="O49" i="6" s="1"/>
  <c r="E48" i="4"/>
  <c r="R46" i="10" l="1"/>
  <c r="S46" i="10" s="1"/>
  <c r="G47" i="10"/>
  <c r="I47" i="10" s="1"/>
  <c r="H47" i="10"/>
  <c r="R47" i="10" s="1"/>
  <c r="S47" i="10" s="1"/>
  <c r="F50" i="10"/>
  <c r="O49" i="10"/>
  <c r="D48" i="10"/>
  <c r="R47" i="9"/>
  <c r="S47" i="9" s="1"/>
  <c r="H48" i="9"/>
  <c r="G48" i="9"/>
  <c r="I48" i="9" s="1"/>
  <c r="F50" i="9"/>
  <c r="O50" i="9"/>
  <c r="D49" i="9"/>
  <c r="G47" i="8"/>
  <c r="I47" i="8" s="1"/>
  <c r="R47" i="8" s="1"/>
  <c r="S47" i="8" s="1"/>
  <c r="F51" i="8"/>
  <c r="N50" i="8"/>
  <c r="C50" i="8"/>
  <c r="M49" i="8"/>
  <c r="O49" i="8" s="1"/>
  <c r="P49" i="8" s="1"/>
  <c r="D48" i="8"/>
  <c r="H48" i="8" s="1"/>
  <c r="B50" i="6"/>
  <c r="M50" i="6"/>
  <c r="O50" i="6" s="1"/>
  <c r="D49" i="6"/>
  <c r="N52" i="6"/>
  <c r="C52" i="6"/>
  <c r="R47" i="6"/>
  <c r="S47" i="6" s="1"/>
  <c r="R48" i="6"/>
  <c r="S48" i="6" s="1"/>
  <c r="G48" i="6"/>
  <c r="I48" i="6" s="1"/>
  <c r="F51" i="6"/>
  <c r="E49" i="4"/>
  <c r="H48" i="10" l="1"/>
  <c r="G48" i="10"/>
  <c r="I48" i="10" s="1"/>
  <c r="F51" i="10"/>
  <c r="O50" i="10"/>
  <c r="D49" i="10"/>
  <c r="O51" i="9"/>
  <c r="D50" i="9"/>
  <c r="H49" i="9"/>
  <c r="G49" i="9"/>
  <c r="I49" i="9" s="1"/>
  <c r="F51" i="9"/>
  <c r="R48" i="9"/>
  <c r="S48" i="9" s="1"/>
  <c r="M50" i="8"/>
  <c r="O50" i="8" s="1"/>
  <c r="P50" i="8" s="1"/>
  <c r="D49" i="8"/>
  <c r="H49" i="8" s="1"/>
  <c r="N51" i="8"/>
  <c r="C51" i="8"/>
  <c r="F52" i="8"/>
  <c r="G48" i="8"/>
  <c r="I48" i="8" s="1"/>
  <c r="F52" i="6"/>
  <c r="G49" i="6"/>
  <c r="I49" i="6" s="1"/>
  <c r="D50" i="6"/>
  <c r="M51" i="6"/>
  <c r="O51" i="6" s="1"/>
  <c r="B51" i="6"/>
  <c r="E50" i="4"/>
  <c r="R48" i="8" l="1"/>
  <c r="S48" i="8" s="1"/>
  <c r="O51" i="10"/>
  <c r="D50" i="10"/>
  <c r="R48" i="10"/>
  <c r="S48" i="10" s="1"/>
  <c r="F52" i="10"/>
  <c r="G49" i="10"/>
  <c r="I49" i="10" s="1"/>
  <c r="H49" i="10"/>
  <c r="R49" i="9"/>
  <c r="S49" i="9" s="1"/>
  <c r="F52" i="9"/>
  <c r="H50" i="9"/>
  <c r="G50" i="9"/>
  <c r="I50" i="9" s="1"/>
  <c r="D52" i="9"/>
  <c r="O52" i="9"/>
  <c r="D51" i="9"/>
  <c r="G49" i="8"/>
  <c r="I49" i="8" s="1"/>
  <c r="N52" i="8"/>
  <c r="C52" i="8"/>
  <c r="M51" i="8"/>
  <c r="O51" i="8" s="1"/>
  <c r="P51" i="8" s="1"/>
  <c r="D50" i="8"/>
  <c r="H50" i="8" s="1"/>
  <c r="B52" i="6"/>
  <c r="D52" i="6" s="1"/>
  <c r="M52" i="6"/>
  <c r="O52" i="6" s="1"/>
  <c r="D51" i="6"/>
  <c r="R49" i="6"/>
  <c r="S49" i="6" s="1"/>
  <c r="G50" i="6"/>
  <c r="I50" i="6" s="1"/>
  <c r="E51" i="4"/>
  <c r="R49" i="10" l="1"/>
  <c r="S49" i="10" s="1"/>
  <c r="H50" i="10"/>
  <c r="G50" i="10"/>
  <c r="I50" i="10" s="1"/>
  <c r="O52" i="10"/>
  <c r="D51" i="10"/>
  <c r="D52" i="10"/>
  <c r="R50" i="9"/>
  <c r="S50" i="9" s="1"/>
  <c r="H52" i="9"/>
  <c r="G52" i="9"/>
  <c r="I52" i="9" s="1"/>
  <c r="K52" i="9"/>
  <c r="H51" i="9"/>
  <c r="G51" i="9"/>
  <c r="I51" i="9" s="1"/>
  <c r="R49" i="8"/>
  <c r="S49" i="8" s="1"/>
  <c r="D52" i="8"/>
  <c r="H52" i="8" s="1"/>
  <c r="U57" i="8" s="1"/>
  <c r="D51" i="8"/>
  <c r="H51" i="8" s="1"/>
  <c r="M52" i="8"/>
  <c r="O52" i="8" s="1"/>
  <c r="P52" i="8" s="1"/>
  <c r="U60" i="8" s="1"/>
  <c r="G50" i="8"/>
  <c r="I50" i="8" s="1"/>
  <c r="R50" i="6"/>
  <c r="S50" i="6" s="1"/>
  <c r="G51" i="6"/>
  <c r="I51" i="6" s="1"/>
  <c r="G52" i="6"/>
  <c r="I52" i="6" s="1"/>
  <c r="K52" i="6"/>
  <c r="R52" i="6" s="1"/>
  <c r="E52" i="4"/>
  <c r="G51" i="10" l="1"/>
  <c r="I51" i="10" s="1"/>
  <c r="H51" i="10"/>
  <c r="R51" i="10" s="1"/>
  <c r="S51" i="10" s="1"/>
  <c r="H52" i="10"/>
  <c r="G52" i="10"/>
  <c r="I52" i="10" s="1"/>
  <c r="K52" i="10"/>
  <c r="R50" i="10"/>
  <c r="S50" i="10" s="1"/>
  <c r="R51" i="9"/>
  <c r="R52" i="9"/>
  <c r="S52" i="9" s="1"/>
  <c r="R50" i="8"/>
  <c r="S50" i="8" s="1"/>
  <c r="R51" i="8"/>
  <c r="S51" i="8" s="1"/>
  <c r="G51" i="8"/>
  <c r="I51" i="8" s="1"/>
  <c r="G52" i="8"/>
  <c r="I52" i="8" s="1"/>
  <c r="U58" i="8" s="1"/>
  <c r="K52" i="8"/>
  <c r="R51" i="6"/>
  <c r="S51" i="6" s="1"/>
  <c r="S52" i="6"/>
  <c r="Q56" i="6" s="1"/>
  <c r="Q57" i="6" s="1"/>
  <c r="Q59" i="6" l="1"/>
  <c r="S51" i="9"/>
  <c r="Q56" i="9" s="1"/>
  <c r="Q57" i="9" s="1"/>
  <c r="R52" i="10"/>
  <c r="R52" i="8"/>
  <c r="S52" i="10" l="1"/>
  <c r="S52" i="8"/>
  <c r="Q56" i="8" s="1"/>
  <c r="Q57" i="8" s="1"/>
  <c r="C2" i="4"/>
  <c r="B2" i="4"/>
  <c r="D2" i="4" s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H4" i="1"/>
  <c r="I4" i="1"/>
  <c r="G4" i="1"/>
  <c r="K5" i="1" s="1"/>
  <c r="O5" i="1" s="1"/>
  <c r="L5" i="1"/>
  <c r="P5" i="1" s="1"/>
  <c r="M5" i="1"/>
  <c r="Q5" i="1" s="1"/>
  <c r="K6" i="1"/>
  <c r="O6" i="1" s="1"/>
  <c r="L6" i="1"/>
  <c r="P6" i="1" s="1"/>
  <c r="M6" i="1"/>
  <c r="Q6" i="1" s="1"/>
  <c r="K7" i="1"/>
  <c r="O7" i="1" s="1"/>
  <c r="L7" i="1"/>
  <c r="P7" i="1" s="1"/>
  <c r="M7" i="1"/>
  <c r="Q7" i="1" s="1"/>
  <c r="K8" i="1"/>
  <c r="O8" i="1" s="1"/>
  <c r="L8" i="1"/>
  <c r="P8" i="1" s="1"/>
  <c r="M8" i="1"/>
  <c r="Q8" i="1" s="1"/>
  <c r="K9" i="1"/>
  <c r="O9" i="1" s="1"/>
  <c r="L9" i="1"/>
  <c r="P9" i="1" s="1"/>
  <c r="M9" i="1"/>
  <c r="Q9" i="1" s="1"/>
  <c r="K10" i="1"/>
  <c r="O10" i="1" s="1"/>
  <c r="L10" i="1"/>
  <c r="P10" i="1" s="1"/>
  <c r="M10" i="1"/>
  <c r="Q10" i="1" s="1"/>
  <c r="K11" i="1"/>
  <c r="O11" i="1" s="1"/>
  <c r="L11" i="1"/>
  <c r="P11" i="1" s="1"/>
  <c r="M11" i="1"/>
  <c r="Q11" i="1" s="1"/>
  <c r="K12" i="1"/>
  <c r="O12" i="1" s="1"/>
  <c r="L12" i="1"/>
  <c r="P12" i="1" s="1"/>
  <c r="M12" i="1"/>
  <c r="Q12" i="1" s="1"/>
  <c r="K13" i="1"/>
  <c r="O13" i="1" s="1"/>
  <c r="L13" i="1"/>
  <c r="P13" i="1" s="1"/>
  <c r="M13" i="1"/>
  <c r="Q13" i="1" s="1"/>
  <c r="K14" i="1"/>
  <c r="O14" i="1" s="1"/>
  <c r="L14" i="1"/>
  <c r="P14" i="1" s="1"/>
  <c r="M14" i="1"/>
  <c r="Q14" i="1" s="1"/>
  <c r="K15" i="1"/>
  <c r="O15" i="1" s="1"/>
  <c r="L15" i="1"/>
  <c r="P15" i="1" s="1"/>
  <c r="M15" i="1"/>
  <c r="Q15" i="1" s="1"/>
  <c r="K16" i="1"/>
  <c r="O16" i="1" s="1"/>
  <c r="L16" i="1"/>
  <c r="P16" i="1" s="1"/>
  <c r="M16" i="1"/>
  <c r="Q16" i="1" s="1"/>
  <c r="K17" i="1"/>
  <c r="O17" i="1" s="1"/>
  <c r="L17" i="1"/>
  <c r="P17" i="1" s="1"/>
  <c r="M17" i="1"/>
  <c r="Q17" i="1" s="1"/>
  <c r="K18" i="1"/>
  <c r="O18" i="1" s="1"/>
  <c r="L18" i="1"/>
  <c r="P18" i="1" s="1"/>
  <c r="M18" i="1"/>
  <c r="Q18" i="1" s="1"/>
  <c r="K19" i="1"/>
  <c r="O19" i="1" s="1"/>
  <c r="L19" i="1"/>
  <c r="P19" i="1" s="1"/>
  <c r="M19" i="1"/>
  <c r="Q19" i="1" s="1"/>
  <c r="K20" i="1"/>
  <c r="O20" i="1" s="1"/>
  <c r="L20" i="1"/>
  <c r="P20" i="1" s="1"/>
  <c r="M20" i="1"/>
  <c r="Q20" i="1" s="1"/>
  <c r="K21" i="1"/>
  <c r="O21" i="1" s="1"/>
  <c r="L21" i="1"/>
  <c r="P21" i="1" s="1"/>
  <c r="M21" i="1"/>
  <c r="Q21" i="1" s="1"/>
  <c r="K22" i="1"/>
  <c r="O22" i="1" s="1"/>
  <c r="L22" i="1"/>
  <c r="P22" i="1" s="1"/>
  <c r="M22" i="1"/>
  <c r="Q22" i="1" s="1"/>
  <c r="K23" i="1"/>
  <c r="O23" i="1" s="1"/>
  <c r="L23" i="1"/>
  <c r="P23" i="1" s="1"/>
  <c r="M23" i="1"/>
  <c r="Q23" i="1" s="1"/>
  <c r="K24" i="1"/>
  <c r="O24" i="1" s="1"/>
  <c r="L24" i="1"/>
  <c r="P24" i="1" s="1"/>
  <c r="M24" i="1"/>
  <c r="Q24" i="1" s="1"/>
  <c r="K25" i="1"/>
  <c r="O25" i="1" s="1"/>
  <c r="L25" i="1"/>
  <c r="P25" i="1" s="1"/>
  <c r="M25" i="1"/>
  <c r="Q25" i="1" s="1"/>
  <c r="K26" i="1"/>
  <c r="O26" i="1" s="1"/>
  <c r="L26" i="1"/>
  <c r="P26" i="1" s="1"/>
  <c r="M26" i="1"/>
  <c r="Q26" i="1" s="1"/>
  <c r="K27" i="1"/>
  <c r="O27" i="1" s="1"/>
  <c r="L27" i="1"/>
  <c r="P27" i="1" s="1"/>
  <c r="M27" i="1"/>
  <c r="Q27" i="1" s="1"/>
  <c r="K28" i="1"/>
  <c r="O28" i="1" s="1"/>
  <c r="L28" i="1"/>
  <c r="P28" i="1" s="1"/>
  <c r="M28" i="1"/>
  <c r="Q28" i="1" s="1"/>
  <c r="K29" i="1"/>
  <c r="O29" i="1" s="1"/>
  <c r="L29" i="1"/>
  <c r="P29" i="1" s="1"/>
  <c r="M29" i="1"/>
  <c r="Q29" i="1" s="1"/>
  <c r="K30" i="1"/>
  <c r="O30" i="1" s="1"/>
  <c r="L30" i="1"/>
  <c r="P30" i="1" s="1"/>
  <c r="M30" i="1"/>
  <c r="Q30" i="1" s="1"/>
  <c r="K31" i="1"/>
  <c r="O31" i="1" s="1"/>
  <c r="L31" i="1"/>
  <c r="P31" i="1" s="1"/>
  <c r="M31" i="1"/>
  <c r="Q31" i="1" s="1"/>
  <c r="K32" i="1"/>
  <c r="O32" i="1" s="1"/>
  <c r="L32" i="1"/>
  <c r="P32" i="1" s="1"/>
  <c r="M32" i="1"/>
  <c r="Q32" i="1" s="1"/>
  <c r="K33" i="1"/>
  <c r="O33" i="1" s="1"/>
  <c r="L33" i="1"/>
  <c r="P33" i="1" s="1"/>
  <c r="M33" i="1"/>
  <c r="Q33" i="1" s="1"/>
  <c r="K34" i="1"/>
  <c r="O34" i="1" s="1"/>
  <c r="L34" i="1"/>
  <c r="P34" i="1" s="1"/>
  <c r="M34" i="1"/>
  <c r="Q34" i="1" s="1"/>
  <c r="K35" i="1"/>
  <c r="O35" i="1" s="1"/>
  <c r="L35" i="1"/>
  <c r="P35" i="1" s="1"/>
  <c r="M35" i="1"/>
  <c r="Q35" i="1" s="1"/>
  <c r="K36" i="1"/>
  <c r="O36" i="1" s="1"/>
  <c r="L36" i="1"/>
  <c r="P36" i="1" s="1"/>
  <c r="M36" i="1"/>
  <c r="Q36" i="1" s="1"/>
  <c r="K37" i="1"/>
  <c r="O37" i="1" s="1"/>
  <c r="L37" i="1"/>
  <c r="P37" i="1" s="1"/>
  <c r="M37" i="1"/>
  <c r="Q37" i="1" s="1"/>
  <c r="K38" i="1"/>
  <c r="O38" i="1" s="1"/>
  <c r="L38" i="1"/>
  <c r="P38" i="1" s="1"/>
  <c r="M38" i="1"/>
  <c r="Q38" i="1" s="1"/>
  <c r="K39" i="1"/>
  <c r="O39" i="1" s="1"/>
  <c r="L39" i="1"/>
  <c r="P39" i="1" s="1"/>
  <c r="M39" i="1"/>
  <c r="Q39" i="1" s="1"/>
  <c r="K40" i="1"/>
  <c r="O40" i="1" s="1"/>
  <c r="L40" i="1"/>
  <c r="P40" i="1" s="1"/>
  <c r="M40" i="1"/>
  <c r="Q40" i="1" s="1"/>
  <c r="K41" i="1"/>
  <c r="O41" i="1" s="1"/>
  <c r="L41" i="1"/>
  <c r="P41" i="1" s="1"/>
  <c r="M41" i="1"/>
  <c r="Q41" i="1" s="1"/>
  <c r="K42" i="1"/>
  <c r="O42" i="1" s="1"/>
  <c r="L42" i="1"/>
  <c r="P42" i="1" s="1"/>
  <c r="M42" i="1"/>
  <c r="Q42" i="1" s="1"/>
  <c r="K43" i="1"/>
  <c r="O43" i="1" s="1"/>
  <c r="L43" i="1"/>
  <c r="P43" i="1" s="1"/>
  <c r="M43" i="1"/>
  <c r="Q43" i="1" s="1"/>
  <c r="K44" i="1"/>
  <c r="O44" i="1" s="1"/>
  <c r="L44" i="1"/>
  <c r="P44" i="1" s="1"/>
  <c r="M44" i="1"/>
  <c r="Q44" i="1" s="1"/>
  <c r="K45" i="1"/>
  <c r="O45" i="1" s="1"/>
  <c r="L45" i="1"/>
  <c r="P45" i="1" s="1"/>
  <c r="M45" i="1"/>
  <c r="Q45" i="1" s="1"/>
  <c r="K46" i="1"/>
  <c r="O46" i="1" s="1"/>
  <c r="L46" i="1"/>
  <c r="P46" i="1" s="1"/>
  <c r="M46" i="1"/>
  <c r="Q46" i="1" s="1"/>
  <c r="K47" i="1"/>
  <c r="O47" i="1" s="1"/>
  <c r="L47" i="1"/>
  <c r="P47" i="1" s="1"/>
  <c r="M47" i="1"/>
  <c r="Q47" i="1" s="1"/>
  <c r="K48" i="1"/>
  <c r="O48" i="1" s="1"/>
  <c r="L48" i="1"/>
  <c r="P48" i="1" s="1"/>
  <c r="M48" i="1"/>
  <c r="Q48" i="1" s="1"/>
  <c r="K49" i="1"/>
  <c r="O49" i="1" s="1"/>
  <c r="L49" i="1"/>
  <c r="P49" i="1" s="1"/>
  <c r="M49" i="1"/>
  <c r="Q49" i="1" s="1"/>
  <c r="K50" i="1"/>
  <c r="O50" i="1" s="1"/>
  <c r="L50" i="1"/>
  <c r="P50" i="1" s="1"/>
  <c r="M50" i="1"/>
  <c r="Q50" i="1" s="1"/>
  <c r="K51" i="1"/>
  <c r="O51" i="1" s="1"/>
  <c r="L51" i="1"/>
  <c r="P51" i="1" s="1"/>
  <c r="M51" i="1"/>
  <c r="Q51" i="1" s="1"/>
  <c r="K52" i="1"/>
  <c r="O52" i="1" s="1"/>
  <c r="L52" i="1"/>
  <c r="P52" i="1" s="1"/>
  <c r="M52" i="1"/>
  <c r="Q52" i="1" s="1"/>
  <c r="K53" i="1"/>
  <c r="O53" i="1" s="1"/>
  <c r="L53" i="1"/>
  <c r="P53" i="1" s="1"/>
  <c r="M53" i="1"/>
  <c r="Q53" i="1" s="1"/>
  <c r="K54" i="1"/>
  <c r="O54" i="1" s="1"/>
  <c r="L54" i="1"/>
  <c r="P54" i="1" s="1"/>
  <c r="M54" i="1"/>
  <c r="Q54" i="1" s="1"/>
  <c r="K55" i="1"/>
  <c r="O55" i="1" s="1"/>
  <c r="L55" i="1"/>
  <c r="P55" i="1" s="1"/>
  <c r="M55" i="1"/>
  <c r="Q55" i="1" s="1"/>
  <c r="K56" i="1"/>
  <c r="O56" i="1" s="1"/>
  <c r="L56" i="1"/>
  <c r="P56" i="1" s="1"/>
  <c r="M56" i="1"/>
  <c r="Q56" i="1" s="1"/>
  <c r="K57" i="1"/>
  <c r="O57" i="1" s="1"/>
  <c r="L57" i="1"/>
  <c r="P57" i="1" s="1"/>
  <c r="M57" i="1"/>
  <c r="Q57" i="1" s="1"/>
  <c r="K58" i="1"/>
  <c r="O58" i="1" s="1"/>
  <c r="L58" i="1"/>
  <c r="P58" i="1" s="1"/>
  <c r="M58" i="1"/>
  <c r="Q58" i="1" s="1"/>
  <c r="K59" i="1"/>
  <c r="O59" i="1" s="1"/>
  <c r="L59" i="1"/>
  <c r="P59" i="1" s="1"/>
  <c r="M59" i="1"/>
  <c r="Q59" i="1" s="1"/>
  <c r="K60" i="1"/>
  <c r="O60" i="1" s="1"/>
  <c r="L60" i="1"/>
  <c r="P60" i="1" s="1"/>
  <c r="M60" i="1"/>
  <c r="Q60" i="1" s="1"/>
  <c r="K61" i="1"/>
  <c r="O61" i="1" s="1"/>
  <c r="L61" i="1"/>
  <c r="P61" i="1" s="1"/>
  <c r="M61" i="1"/>
  <c r="Q61" i="1" s="1"/>
  <c r="K62" i="1"/>
  <c r="O62" i="1" s="1"/>
  <c r="L62" i="1"/>
  <c r="P62" i="1" s="1"/>
  <c r="M62" i="1"/>
  <c r="Q62" i="1" s="1"/>
  <c r="K63" i="1"/>
  <c r="O63" i="1" s="1"/>
  <c r="L63" i="1"/>
  <c r="P63" i="1" s="1"/>
  <c r="M63" i="1"/>
  <c r="Q63" i="1" s="1"/>
  <c r="K64" i="1"/>
  <c r="O64" i="1" s="1"/>
  <c r="L64" i="1"/>
  <c r="P64" i="1" s="1"/>
  <c r="M64" i="1"/>
  <c r="Q64" i="1" s="1"/>
  <c r="K65" i="1"/>
  <c r="O65" i="1" s="1"/>
  <c r="L65" i="1"/>
  <c r="P65" i="1" s="1"/>
  <c r="M65" i="1"/>
  <c r="Q65" i="1" s="1"/>
  <c r="K66" i="1"/>
  <c r="O66" i="1" s="1"/>
  <c r="L66" i="1"/>
  <c r="P66" i="1" s="1"/>
  <c r="M66" i="1"/>
  <c r="Q66" i="1" s="1"/>
  <c r="K67" i="1"/>
  <c r="O67" i="1" s="1"/>
  <c r="L67" i="1"/>
  <c r="P67" i="1" s="1"/>
  <c r="M67" i="1"/>
  <c r="Q67" i="1" s="1"/>
  <c r="K68" i="1"/>
  <c r="O68" i="1" s="1"/>
  <c r="L68" i="1"/>
  <c r="P68" i="1" s="1"/>
  <c r="M68" i="1"/>
  <c r="Q68" i="1" s="1"/>
  <c r="K69" i="1"/>
  <c r="O69" i="1" s="1"/>
  <c r="L69" i="1"/>
  <c r="P69" i="1" s="1"/>
  <c r="M69" i="1"/>
  <c r="Q69" i="1" s="1"/>
  <c r="K70" i="1"/>
  <c r="O70" i="1" s="1"/>
  <c r="L70" i="1"/>
  <c r="P70" i="1" s="1"/>
  <c r="M70" i="1"/>
  <c r="Q70" i="1" s="1"/>
  <c r="K71" i="1"/>
  <c r="O71" i="1" s="1"/>
  <c r="L71" i="1"/>
  <c r="P71" i="1" s="1"/>
  <c r="M71" i="1"/>
  <c r="Q71" i="1" s="1"/>
  <c r="K72" i="1"/>
  <c r="O72" i="1" s="1"/>
  <c r="L72" i="1"/>
  <c r="P72" i="1" s="1"/>
  <c r="M72" i="1"/>
  <c r="Q72" i="1" s="1"/>
  <c r="K73" i="1"/>
  <c r="O73" i="1" s="1"/>
  <c r="L73" i="1"/>
  <c r="P73" i="1" s="1"/>
  <c r="M73" i="1"/>
  <c r="Q73" i="1" s="1"/>
  <c r="K74" i="1"/>
  <c r="O74" i="1" s="1"/>
  <c r="L74" i="1"/>
  <c r="P74" i="1" s="1"/>
  <c r="M74" i="1"/>
  <c r="Q74" i="1" s="1"/>
  <c r="K75" i="1"/>
  <c r="O75" i="1" s="1"/>
  <c r="L75" i="1"/>
  <c r="P75" i="1" s="1"/>
  <c r="M75" i="1"/>
  <c r="Q75" i="1" s="1"/>
  <c r="K76" i="1"/>
  <c r="O76" i="1" s="1"/>
  <c r="L76" i="1"/>
  <c r="P76" i="1" s="1"/>
  <c r="M76" i="1"/>
  <c r="Q76" i="1" s="1"/>
  <c r="K77" i="1"/>
  <c r="O77" i="1" s="1"/>
  <c r="L77" i="1"/>
  <c r="P77" i="1" s="1"/>
  <c r="M77" i="1"/>
  <c r="Q77" i="1" s="1"/>
  <c r="K78" i="1"/>
  <c r="O78" i="1" s="1"/>
  <c r="L78" i="1"/>
  <c r="P78" i="1" s="1"/>
  <c r="M78" i="1"/>
  <c r="Q78" i="1" s="1"/>
  <c r="K79" i="1"/>
  <c r="O79" i="1" s="1"/>
  <c r="L79" i="1"/>
  <c r="P79" i="1" s="1"/>
  <c r="M79" i="1"/>
  <c r="Q79" i="1" s="1"/>
  <c r="K80" i="1"/>
  <c r="O80" i="1" s="1"/>
  <c r="L80" i="1"/>
  <c r="P80" i="1" s="1"/>
  <c r="M80" i="1"/>
  <c r="Q80" i="1" s="1"/>
  <c r="K81" i="1"/>
  <c r="O81" i="1" s="1"/>
  <c r="L81" i="1"/>
  <c r="P81" i="1" s="1"/>
  <c r="M81" i="1"/>
  <c r="Q81" i="1" s="1"/>
  <c r="K82" i="1"/>
  <c r="O82" i="1" s="1"/>
  <c r="L82" i="1"/>
  <c r="P82" i="1" s="1"/>
  <c r="M82" i="1"/>
  <c r="Q82" i="1" s="1"/>
  <c r="K83" i="1"/>
  <c r="O83" i="1" s="1"/>
  <c r="L83" i="1"/>
  <c r="P83" i="1" s="1"/>
  <c r="M83" i="1"/>
  <c r="Q83" i="1" s="1"/>
  <c r="K84" i="1"/>
  <c r="O84" i="1" s="1"/>
  <c r="L84" i="1"/>
  <c r="P84" i="1" s="1"/>
  <c r="M84" i="1"/>
  <c r="Q84" i="1" s="1"/>
  <c r="K85" i="1"/>
  <c r="O85" i="1" s="1"/>
  <c r="L85" i="1"/>
  <c r="P85" i="1" s="1"/>
  <c r="M85" i="1"/>
  <c r="Q85" i="1" s="1"/>
  <c r="K86" i="1"/>
  <c r="O86" i="1" s="1"/>
  <c r="L86" i="1"/>
  <c r="P86" i="1" s="1"/>
  <c r="M86" i="1"/>
  <c r="Q86" i="1" s="1"/>
  <c r="K87" i="1"/>
  <c r="O87" i="1" s="1"/>
  <c r="L87" i="1"/>
  <c r="P87" i="1" s="1"/>
  <c r="M87" i="1"/>
  <c r="Q87" i="1" s="1"/>
  <c r="K88" i="1"/>
  <c r="O88" i="1" s="1"/>
  <c r="L88" i="1"/>
  <c r="P88" i="1" s="1"/>
  <c r="M88" i="1"/>
  <c r="Q88" i="1" s="1"/>
  <c r="K89" i="1"/>
  <c r="O89" i="1" s="1"/>
  <c r="L89" i="1"/>
  <c r="P89" i="1" s="1"/>
  <c r="M89" i="1"/>
  <c r="Q89" i="1" s="1"/>
  <c r="K90" i="1"/>
  <c r="O90" i="1" s="1"/>
  <c r="L90" i="1"/>
  <c r="P90" i="1" s="1"/>
  <c r="M90" i="1"/>
  <c r="Q90" i="1" s="1"/>
  <c r="K91" i="1"/>
  <c r="O91" i="1" s="1"/>
  <c r="L91" i="1"/>
  <c r="P91" i="1" s="1"/>
  <c r="M91" i="1"/>
  <c r="Q91" i="1" s="1"/>
  <c r="K92" i="1"/>
  <c r="O92" i="1" s="1"/>
  <c r="L92" i="1"/>
  <c r="P92" i="1" s="1"/>
  <c r="M92" i="1"/>
  <c r="Q92" i="1" s="1"/>
  <c r="K93" i="1"/>
  <c r="O93" i="1" s="1"/>
  <c r="L93" i="1"/>
  <c r="P93" i="1" s="1"/>
  <c r="M93" i="1"/>
  <c r="Q93" i="1" s="1"/>
  <c r="K94" i="1"/>
  <c r="O94" i="1" s="1"/>
  <c r="L94" i="1"/>
  <c r="P94" i="1" s="1"/>
  <c r="M94" i="1"/>
  <c r="Q94" i="1" s="1"/>
  <c r="K95" i="1"/>
  <c r="O95" i="1" s="1"/>
  <c r="L95" i="1"/>
  <c r="P95" i="1" s="1"/>
  <c r="M95" i="1"/>
  <c r="Q95" i="1" s="1"/>
  <c r="K96" i="1"/>
  <c r="O96" i="1" s="1"/>
  <c r="L96" i="1"/>
  <c r="P96" i="1" s="1"/>
  <c r="M96" i="1"/>
  <c r="Q96" i="1" s="1"/>
  <c r="K97" i="1"/>
  <c r="O97" i="1" s="1"/>
  <c r="L97" i="1"/>
  <c r="P97" i="1" s="1"/>
  <c r="M97" i="1"/>
  <c r="Q97" i="1" s="1"/>
  <c r="K98" i="1"/>
  <c r="O98" i="1" s="1"/>
  <c r="L98" i="1"/>
  <c r="P98" i="1" s="1"/>
  <c r="M98" i="1"/>
  <c r="Q98" i="1" s="1"/>
  <c r="K99" i="1"/>
  <c r="O99" i="1" s="1"/>
  <c r="L99" i="1"/>
  <c r="P99" i="1" s="1"/>
  <c r="M99" i="1"/>
  <c r="Q99" i="1" s="1"/>
  <c r="K100" i="1"/>
  <c r="O100" i="1" s="1"/>
  <c r="L100" i="1"/>
  <c r="P100" i="1" s="1"/>
  <c r="M100" i="1"/>
  <c r="Q100" i="1" s="1"/>
  <c r="K101" i="1"/>
  <c r="O101" i="1" s="1"/>
  <c r="L101" i="1"/>
  <c r="P101" i="1" s="1"/>
  <c r="M101" i="1"/>
  <c r="Q101" i="1" s="1"/>
  <c r="K102" i="1"/>
  <c r="O102" i="1" s="1"/>
  <c r="L102" i="1"/>
  <c r="P102" i="1" s="1"/>
  <c r="M102" i="1"/>
  <c r="Q102" i="1" s="1"/>
  <c r="K103" i="1"/>
  <c r="O103" i="1" s="1"/>
  <c r="L103" i="1"/>
  <c r="P103" i="1" s="1"/>
  <c r="M103" i="1"/>
  <c r="Q103" i="1" s="1"/>
  <c r="K104" i="1"/>
  <c r="O104" i="1" s="1"/>
  <c r="L104" i="1"/>
  <c r="P104" i="1" s="1"/>
  <c r="M104" i="1"/>
  <c r="Q104" i="1" s="1"/>
  <c r="K105" i="1"/>
  <c r="O105" i="1" s="1"/>
  <c r="L105" i="1"/>
  <c r="P105" i="1" s="1"/>
  <c r="M105" i="1"/>
  <c r="Q105" i="1" s="1"/>
  <c r="K106" i="1"/>
  <c r="O106" i="1" s="1"/>
  <c r="L106" i="1"/>
  <c r="P106" i="1" s="1"/>
  <c r="M106" i="1"/>
  <c r="Q106" i="1" s="1"/>
  <c r="K107" i="1"/>
  <c r="O107" i="1" s="1"/>
  <c r="L107" i="1"/>
  <c r="P107" i="1" s="1"/>
  <c r="M107" i="1"/>
  <c r="Q107" i="1" s="1"/>
  <c r="K108" i="1"/>
  <c r="O108" i="1" s="1"/>
  <c r="L108" i="1"/>
  <c r="P108" i="1" s="1"/>
  <c r="M108" i="1"/>
  <c r="Q108" i="1" s="1"/>
  <c r="K109" i="1"/>
  <c r="O109" i="1" s="1"/>
  <c r="L109" i="1"/>
  <c r="P109" i="1" s="1"/>
  <c r="M109" i="1"/>
  <c r="Q109" i="1" s="1"/>
  <c r="K110" i="1"/>
  <c r="O110" i="1" s="1"/>
  <c r="L110" i="1"/>
  <c r="P110" i="1" s="1"/>
  <c r="M110" i="1"/>
  <c r="Q110" i="1" s="1"/>
  <c r="K111" i="1"/>
  <c r="O111" i="1" s="1"/>
  <c r="L111" i="1"/>
  <c r="P111" i="1" s="1"/>
  <c r="M111" i="1"/>
  <c r="Q111" i="1" s="1"/>
  <c r="K112" i="1"/>
  <c r="O112" i="1" s="1"/>
  <c r="L112" i="1"/>
  <c r="P112" i="1" s="1"/>
  <c r="M112" i="1"/>
  <c r="Q112" i="1" s="1"/>
  <c r="K113" i="1"/>
  <c r="O113" i="1" s="1"/>
  <c r="L113" i="1"/>
  <c r="P113" i="1" s="1"/>
  <c r="M113" i="1"/>
  <c r="Q113" i="1" s="1"/>
  <c r="K114" i="1"/>
  <c r="O114" i="1" s="1"/>
  <c r="L114" i="1"/>
  <c r="P114" i="1" s="1"/>
  <c r="M114" i="1"/>
  <c r="Q114" i="1" s="1"/>
  <c r="K115" i="1"/>
  <c r="O115" i="1" s="1"/>
  <c r="L115" i="1"/>
  <c r="P115" i="1" s="1"/>
  <c r="M115" i="1"/>
  <c r="Q115" i="1" s="1"/>
  <c r="K116" i="1"/>
  <c r="O116" i="1" s="1"/>
  <c r="L116" i="1"/>
  <c r="P116" i="1" s="1"/>
  <c r="M116" i="1"/>
  <c r="Q116" i="1" s="1"/>
  <c r="K117" i="1"/>
  <c r="O117" i="1" s="1"/>
  <c r="L117" i="1"/>
  <c r="P117" i="1" s="1"/>
  <c r="M117" i="1"/>
  <c r="Q117" i="1" s="1"/>
  <c r="K118" i="1"/>
  <c r="O118" i="1" s="1"/>
  <c r="L118" i="1"/>
  <c r="P118" i="1" s="1"/>
  <c r="M118" i="1"/>
  <c r="Q118" i="1" s="1"/>
  <c r="K119" i="1"/>
  <c r="O119" i="1" s="1"/>
  <c r="L119" i="1"/>
  <c r="P119" i="1" s="1"/>
  <c r="M119" i="1"/>
  <c r="Q119" i="1" s="1"/>
  <c r="K120" i="1"/>
  <c r="O120" i="1" s="1"/>
  <c r="L120" i="1"/>
  <c r="P120" i="1" s="1"/>
  <c r="M120" i="1"/>
  <c r="Q120" i="1" s="1"/>
  <c r="K121" i="1"/>
  <c r="O121" i="1" s="1"/>
  <c r="L121" i="1"/>
  <c r="P121" i="1" s="1"/>
  <c r="M121" i="1"/>
  <c r="Q121" i="1" s="1"/>
  <c r="K122" i="1"/>
  <c r="O122" i="1" s="1"/>
  <c r="L122" i="1"/>
  <c r="P122" i="1" s="1"/>
  <c r="M122" i="1"/>
  <c r="Q122" i="1" s="1"/>
  <c r="K123" i="1"/>
  <c r="O123" i="1" s="1"/>
  <c r="L123" i="1"/>
  <c r="P123" i="1" s="1"/>
  <c r="M123" i="1"/>
  <c r="Q123" i="1" s="1"/>
  <c r="K124" i="1"/>
  <c r="O124" i="1" s="1"/>
  <c r="L124" i="1"/>
  <c r="P124" i="1" s="1"/>
  <c r="M124" i="1"/>
  <c r="Q124" i="1" s="1"/>
  <c r="K125" i="1"/>
  <c r="O125" i="1" s="1"/>
  <c r="L125" i="1"/>
  <c r="P125" i="1" s="1"/>
  <c r="M125" i="1"/>
  <c r="Q125" i="1" s="1"/>
  <c r="K126" i="1"/>
  <c r="O126" i="1" s="1"/>
  <c r="L126" i="1"/>
  <c r="P126" i="1" s="1"/>
  <c r="M126" i="1"/>
  <c r="Q126" i="1" s="1"/>
  <c r="K127" i="1"/>
  <c r="O127" i="1" s="1"/>
  <c r="L127" i="1"/>
  <c r="P127" i="1" s="1"/>
  <c r="M127" i="1"/>
  <c r="Q127" i="1" s="1"/>
  <c r="K128" i="1"/>
  <c r="O128" i="1" s="1"/>
  <c r="L128" i="1"/>
  <c r="P128" i="1" s="1"/>
  <c r="M128" i="1"/>
  <c r="Q128" i="1" s="1"/>
  <c r="K129" i="1"/>
  <c r="O129" i="1" s="1"/>
  <c r="L129" i="1"/>
  <c r="P129" i="1" s="1"/>
  <c r="M129" i="1"/>
  <c r="Q129" i="1" s="1"/>
  <c r="K130" i="1"/>
  <c r="O130" i="1" s="1"/>
  <c r="L130" i="1"/>
  <c r="P130" i="1" s="1"/>
  <c r="M130" i="1"/>
  <c r="Q130" i="1" s="1"/>
  <c r="K131" i="1"/>
  <c r="O131" i="1" s="1"/>
  <c r="L131" i="1"/>
  <c r="P131" i="1" s="1"/>
  <c r="M131" i="1"/>
  <c r="Q131" i="1" s="1"/>
  <c r="K132" i="1"/>
  <c r="O132" i="1" s="1"/>
  <c r="L132" i="1"/>
  <c r="P132" i="1" s="1"/>
  <c r="M132" i="1"/>
  <c r="Q132" i="1" s="1"/>
  <c r="K133" i="1"/>
  <c r="O133" i="1" s="1"/>
  <c r="L133" i="1"/>
  <c r="P133" i="1" s="1"/>
  <c r="M133" i="1"/>
  <c r="Q133" i="1" s="1"/>
  <c r="K134" i="1"/>
  <c r="O134" i="1" s="1"/>
  <c r="L134" i="1"/>
  <c r="P134" i="1" s="1"/>
  <c r="M134" i="1"/>
  <c r="Q134" i="1" s="1"/>
  <c r="K135" i="1"/>
  <c r="O135" i="1" s="1"/>
  <c r="L135" i="1"/>
  <c r="P135" i="1" s="1"/>
  <c r="M135" i="1"/>
  <c r="Q135" i="1" s="1"/>
  <c r="K136" i="1"/>
  <c r="O136" i="1" s="1"/>
  <c r="L136" i="1"/>
  <c r="P136" i="1" s="1"/>
  <c r="M136" i="1"/>
  <c r="Q136" i="1" s="1"/>
  <c r="K137" i="1"/>
  <c r="O137" i="1" s="1"/>
  <c r="L137" i="1"/>
  <c r="P137" i="1" s="1"/>
  <c r="M137" i="1"/>
  <c r="Q137" i="1" s="1"/>
  <c r="K138" i="1"/>
  <c r="O138" i="1" s="1"/>
  <c r="L138" i="1"/>
  <c r="P138" i="1" s="1"/>
  <c r="M138" i="1"/>
  <c r="Q138" i="1" s="1"/>
  <c r="K139" i="1"/>
  <c r="O139" i="1" s="1"/>
  <c r="L139" i="1"/>
  <c r="P139" i="1" s="1"/>
  <c r="M139" i="1"/>
  <c r="Q139" i="1" s="1"/>
  <c r="K140" i="1"/>
  <c r="O140" i="1" s="1"/>
  <c r="L140" i="1"/>
  <c r="P140" i="1" s="1"/>
  <c r="M140" i="1"/>
  <c r="Q140" i="1" s="1"/>
  <c r="K141" i="1"/>
  <c r="O141" i="1" s="1"/>
  <c r="L141" i="1"/>
  <c r="P141" i="1" s="1"/>
  <c r="M141" i="1"/>
  <c r="Q141" i="1" s="1"/>
  <c r="K142" i="1"/>
  <c r="O142" i="1" s="1"/>
  <c r="L142" i="1"/>
  <c r="P142" i="1" s="1"/>
  <c r="M142" i="1"/>
  <c r="Q142" i="1" s="1"/>
  <c r="K143" i="1"/>
  <c r="O143" i="1" s="1"/>
  <c r="L143" i="1"/>
  <c r="P143" i="1" s="1"/>
  <c r="M143" i="1"/>
  <c r="Q143" i="1" s="1"/>
  <c r="K144" i="1"/>
  <c r="O144" i="1" s="1"/>
  <c r="L144" i="1"/>
  <c r="P144" i="1" s="1"/>
  <c r="M144" i="1"/>
  <c r="Q144" i="1" s="1"/>
  <c r="K145" i="1"/>
  <c r="O145" i="1" s="1"/>
  <c r="L145" i="1"/>
  <c r="P145" i="1" s="1"/>
  <c r="M145" i="1"/>
  <c r="Q145" i="1" s="1"/>
  <c r="K146" i="1"/>
  <c r="O146" i="1" s="1"/>
  <c r="L146" i="1"/>
  <c r="P146" i="1" s="1"/>
  <c r="M146" i="1"/>
  <c r="Q146" i="1" s="1"/>
  <c r="K147" i="1"/>
  <c r="O147" i="1" s="1"/>
  <c r="L147" i="1"/>
  <c r="P147" i="1" s="1"/>
  <c r="M147" i="1"/>
  <c r="Q147" i="1" s="1"/>
  <c r="K148" i="1"/>
  <c r="O148" i="1" s="1"/>
  <c r="L148" i="1"/>
  <c r="P148" i="1" s="1"/>
  <c r="M148" i="1"/>
  <c r="Q148" i="1" s="1"/>
  <c r="K149" i="1"/>
  <c r="O149" i="1" s="1"/>
  <c r="L149" i="1"/>
  <c r="P149" i="1" s="1"/>
  <c r="M149" i="1"/>
  <c r="Q149" i="1" s="1"/>
  <c r="K150" i="1"/>
  <c r="O150" i="1" s="1"/>
  <c r="L150" i="1"/>
  <c r="P150" i="1" s="1"/>
  <c r="M150" i="1"/>
  <c r="Q150" i="1" s="1"/>
  <c r="K151" i="1"/>
  <c r="O151" i="1" s="1"/>
  <c r="L151" i="1"/>
  <c r="P151" i="1" s="1"/>
  <c r="M151" i="1"/>
  <c r="Q151" i="1" s="1"/>
  <c r="K152" i="1"/>
  <c r="O152" i="1" s="1"/>
  <c r="L152" i="1"/>
  <c r="P152" i="1" s="1"/>
  <c r="M152" i="1"/>
  <c r="Q152" i="1" s="1"/>
  <c r="K153" i="1"/>
  <c r="O153" i="1" s="1"/>
  <c r="L153" i="1"/>
  <c r="P153" i="1" s="1"/>
  <c r="M153" i="1"/>
  <c r="Q153" i="1" s="1"/>
  <c r="L4" i="1"/>
  <c r="P4" i="1" s="1"/>
  <c r="M4" i="1"/>
  <c r="Q4" i="1" s="1"/>
  <c r="K4" i="1"/>
  <c r="Q56" i="10" l="1"/>
  <c r="Q57" i="10" s="1"/>
  <c r="Q59" i="10"/>
  <c r="H2" i="4"/>
  <c r="G2" i="4"/>
  <c r="C3" i="4"/>
  <c r="N3" i="4"/>
  <c r="N2" i="4"/>
  <c r="M3" i="4"/>
  <c r="O3" i="4" s="1"/>
  <c r="M2" i="4"/>
  <c r="B3" i="4"/>
  <c r="M4" i="4" l="1"/>
  <c r="D3" i="4"/>
  <c r="H3" i="4" s="1"/>
  <c r="B4" i="4"/>
  <c r="N4" i="4"/>
  <c r="C4" i="4"/>
  <c r="B5" i="4" l="1"/>
  <c r="M5" i="4"/>
  <c r="D4" i="4"/>
  <c r="G3" i="4"/>
  <c r="R3" i="4"/>
  <c r="C5" i="4"/>
  <c r="N5" i="4"/>
  <c r="O4" i="4"/>
  <c r="S3" i="4" l="1"/>
  <c r="C6" i="4"/>
  <c r="N6" i="4"/>
  <c r="O5" i="4"/>
  <c r="H4" i="4"/>
  <c r="G4" i="4"/>
  <c r="I4" i="4" s="1"/>
  <c r="B6" i="4"/>
  <c r="M6" i="4"/>
  <c r="O6" i="4" s="1"/>
  <c r="D5" i="4"/>
  <c r="R4" i="4" l="1"/>
  <c r="B7" i="4"/>
  <c r="M7" i="4"/>
  <c r="D6" i="4"/>
  <c r="G5" i="4"/>
  <c r="I5" i="4" s="1"/>
  <c r="H5" i="4"/>
  <c r="R5" i="4" s="1"/>
  <c r="S5" i="4" s="1"/>
  <c r="C7" i="4"/>
  <c r="N7" i="4"/>
  <c r="S4" i="4" l="1"/>
  <c r="C8" i="4"/>
  <c r="N8" i="4"/>
  <c r="H6" i="4"/>
  <c r="G6" i="4"/>
  <c r="I6" i="4" s="1"/>
  <c r="O7" i="4"/>
  <c r="B8" i="4"/>
  <c r="M8" i="4"/>
  <c r="O8" i="4" s="1"/>
  <c r="D7" i="4"/>
  <c r="H7" i="4" l="1"/>
  <c r="R7" i="4" s="1"/>
  <c r="S7" i="4" s="1"/>
  <c r="G7" i="4"/>
  <c r="I7" i="4" s="1"/>
  <c r="B9" i="4"/>
  <c r="M9" i="4"/>
  <c r="D8" i="4"/>
  <c r="R6" i="4"/>
  <c r="C9" i="4"/>
  <c r="N9" i="4"/>
  <c r="S6" i="4" l="1"/>
  <c r="C10" i="4"/>
  <c r="N10" i="4"/>
  <c r="O9" i="4"/>
  <c r="G8" i="4"/>
  <c r="I8" i="4" s="1"/>
  <c r="H8" i="4"/>
  <c r="R8" i="4" s="1"/>
  <c r="S8" i="4" s="1"/>
  <c r="B10" i="4"/>
  <c r="M10" i="4"/>
  <c r="O10" i="4" s="1"/>
  <c r="D9" i="4"/>
  <c r="G9" i="4" l="1"/>
  <c r="I9" i="4" s="1"/>
  <c r="H9" i="4"/>
  <c r="R9" i="4" s="1"/>
  <c r="B11" i="4"/>
  <c r="M11" i="4"/>
  <c r="D10" i="4"/>
  <c r="C11" i="4"/>
  <c r="N11" i="4"/>
  <c r="S9" i="4" l="1"/>
  <c r="O11" i="4"/>
  <c r="C12" i="4"/>
  <c r="N12" i="4"/>
  <c r="H10" i="4"/>
  <c r="R10" i="4" s="1"/>
  <c r="S10" i="4" s="1"/>
  <c r="G10" i="4"/>
  <c r="I10" i="4" s="1"/>
  <c r="B12" i="4"/>
  <c r="M12" i="4"/>
  <c r="O12" i="4" s="1"/>
  <c r="D11" i="4"/>
  <c r="C13" i="4" l="1"/>
  <c r="N13" i="4"/>
  <c r="G11" i="4"/>
  <c r="I11" i="4" s="1"/>
  <c r="H11" i="4"/>
  <c r="R11" i="4" s="1"/>
  <c r="S11" i="4" s="1"/>
  <c r="B13" i="4"/>
  <c r="M13" i="4"/>
  <c r="O13" i="4" s="1"/>
  <c r="D12" i="4"/>
  <c r="G12" i="4" l="1"/>
  <c r="I12" i="4" s="1"/>
  <c r="H12" i="4"/>
  <c r="R12" i="4" s="1"/>
  <c r="S12" i="4" s="1"/>
  <c r="C14" i="4"/>
  <c r="N14" i="4"/>
  <c r="B14" i="4"/>
  <c r="M14" i="4"/>
  <c r="O14" i="4" s="1"/>
  <c r="D13" i="4"/>
  <c r="G13" i="4" l="1"/>
  <c r="I13" i="4" s="1"/>
  <c r="H13" i="4"/>
  <c r="R13" i="4" s="1"/>
  <c r="S13" i="4" s="1"/>
  <c r="B15" i="4"/>
  <c r="M15" i="4"/>
  <c r="D14" i="4"/>
  <c r="C15" i="4"/>
  <c r="N15" i="4"/>
  <c r="C16" i="4" l="1"/>
  <c r="N16" i="4"/>
  <c r="H14" i="4"/>
  <c r="G14" i="4"/>
  <c r="I14" i="4" s="1"/>
  <c r="O15" i="4"/>
  <c r="B16" i="4"/>
  <c r="M16" i="4"/>
  <c r="O16" i="4" s="1"/>
  <c r="D15" i="4"/>
  <c r="R14" i="4" l="1"/>
  <c r="S14" i="4" s="1"/>
  <c r="G15" i="4"/>
  <c r="I15" i="4" s="1"/>
  <c r="H15" i="4"/>
  <c r="B17" i="4"/>
  <c r="M17" i="4"/>
  <c r="D16" i="4"/>
  <c r="R15" i="4"/>
  <c r="S15" i="4" s="1"/>
  <c r="C17" i="4"/>
  <c r="N17" i="4"/>
  <c r="C18" i="4" l="1"/>
  <c r="N18" i="4"/>
  <c r="O17" i="4"/>
  <c r="H16" i="4"/>
  <c r="R16" i="4" s="1"/>
  <c r="S16" i="4" s="1"/>
  <c r="G16" i="4"/>
  <c r="I16" i="4" s="1"/>
  <c r="B18" i="4"/>
  <c r="M18" i="4"/>
  <c r="O18" i="4" s="1"/>
  <c r="D17" i="4"/>
  <c r="H17" i="4" l="1"/>
  <c r="G17" i="4"/>
  <c r="I17" i="4" s="1"/>
  <c r="B19" i="4"/>
  <c r="M19" i="4"/>
  <c r="O19" i="4" s="1"/>
  <c r="D18" i="4"/>
  <c r="R17" i="4"/>
  <c r="S17" i="4" s="1"/>
  <c r="C19" i="4"/>
  <c r="N19" i="4"/>
  <c r="C20" i="4" l="1"/>
  <c r="N20" i="4"/>
  <c r="G18" i="4"/>
  <c r="I18" i="4" s="1"/>
  <c r="H18" i="4"/>
  <c r="R18" i="4" s="1"/>
  <c r="S18" i="4" s="1"/>
  <c r="B20" i="4"/>
  <c r="M20" i="4"/>
  <c r="O20" i="4" s="1"/>
  <c r="D19" i="4"/>
  <c r="G19" i="4" l="1"/>
  <c r="I19" i="4" s="1"/>
  <c r="H19" i="4"/>
  <c r="R19" i="4" s="1"/>
  <c r="S19" i="4" s="1"/>
  <c r="B21" i="4"/>
  <c r="M21" i="4"/>
  <c r="D20" i="4"/>
  <c r="C21" i="4"/>
  <c r="N21" i="4"/>
  <c r="O21" i="4" l="1"/>
  <c r="C22" i="4"/>
  <c r="N22" i="4"/>
  <c r="H20" i="4"/>
  <c r="R20" i="4" s="1"/>
  <c r="S20" i="4" s="1"/>
  <c r="G20" i="4"/>
  <c r="I20" i="4" s="1"/>
  <c r="B22" i="4"/>
  <c r="M22" i="4"/>
  <c r="O22" i="4" s="1"/>
  <c r="D21" i="4"/>
  <c r="H21" i="4" l="1"/>
  <c r="G21" i="4"/>
  <c r="I21" i="4" s="1"/>
  <c r="B23" i="4"/>
  <c r="M23" i="4"/>
  <c r="D22" i="4"/>
  <c r="C23" i="4"/>
  <c r="N23" i="4"/>
  <c r="R21" i="4"/>
  <c r="S21" i="4" s="1"/>
  <c r="G22" i="4" l="1"/>
  <c r="I22" i="4" s="1"/>
  <c r="H22" i="4"/>
  <c r="R22" i="4" s="1"/>
  <c r="S22" i="4" s="1"/>
  <c r="B24" i="4"/>
  <c r="M24" i="4"/>
  <c r="D23" i="4"/>
  <c r="C24" i="4"/>
  <c r="N24" i="4"/>
  <c r="O23" i="4"/>
  <c r="C25" i="4" l="1"/>
  <c r="N25" i="4"/>
  <c r="G23" i="4"/>
  <c r="I23" i="4" s="1"/>
  <c r="H23" i="4"/>
  <c r="R23" i="4" s="1"/>
  <c r="S23" i="4" s="1"/>
  <c r="O24" i="4"/>
  <c r="B25" i="4"/>
  <c r="M25" i="4"/>
  <c r="O25" i="4" s="1"/>
  <c r="D24" i="4"/>
  <c r="G24" i="4" l="1"/>
  <c r="I24" i="4" s="1"/>
  <c r="H24" i="4"/>
  <c r="B26" i="4"/>
  <c r="M26" i="4"/>
  <c r="D25" i="4"/>
  <c r="C26" i="4"/>
  <c r="N26" i="4"/>
  <c r="R24" i="4" l="1"/>
  <c r="S24" i="4" s="1"/>
  <c r="C27" i="4"/>
  <c r="N27" i="4"/>
  <c r="H25" i="4"/>
  <c r="G25" i="4"/>
  <c r="I25" i="4" s="1"/>
  <c r="O26" i="4"/>
  <c r="B27" i="4"/>
  <c r="M27" i="4"/>
  <c r="O27" i="4" s="1"/>
  <c r="D26" i="4"/>
  <c r="R25" i="4" l="1"/>
  <c r="S25" i="4" s="1"/>
  <c r="H26" i="4"/>
  <c r="R26" i="4" s="1"/>
  <c r="S26" i="4" s="1"/>
  <c r="G26" i="4"/>
  <c r="I26" i="4" s="1"/>
  <c r="B28" i="4"/>
  <c r="M28" i="4"/>
  <c r="D27" i="4"/>
  <c r="C28" i="4"/>
  <c r="N28" i="4"/>
  <c r="O28" i="4" l="1"/>
  <c r="C29" i="4"/>
  <c r="N29" i="4"/>
  <c r="H27" i="4"/>
  <c r="R27" i="4" s="1"/>
  <c r="S27" i="4" s="1"/>
  <c r="G27" i="4"/>
  <c r="I27" i="4" s="1"/>
  <c r="B29" i="4"/>
  <c r="M29" i="4"/>
  <c r="O29" i="4" s="1"/>
  <c r="D28" i="4"/>
  <c r="H28" i="4" l="1"/>
  <c r="G28" i="4"/>
  <c r="I28" i="4" s="1"/>
  <c r="B30" i="4"/>
  <c r="M30" i="4"/>
  <c r="D29" i="4"/>
  <c r="C30" i="4"/>
  <c r="N30" i="4"/>
  <c r="R28" i="4"/>
  <c r="S28" i="4" s="1"/>
  <c r="B31" i="4" l="1"/>
  <c r="M31" i="4"/>
  <c r="D30" i="4"/>
  <c r="O30" i="4"/>
  <c r="C31" i="4"/>
  <c r="N31" i="4"/>
  <c r="G29" i="4"/>
  <c r="I29" i="4" s="1"/>
  <c r="H29" i="4"/>
  <c r="R29" i="4" s="1"/>
  <c r="S29" i="4" s="1"/>
  <c r="G30" i="4" l="1"/>
  <c r="I30" i="4" s="1"/>
  <c r="H30" i="4"/>
  <c r="R30" i="4" s="1"/>
  <c r="S30" i="4" s="1"/>
  <c r="O31" i="4"/>
  <c r="C32" i="4"/>
  <c r="N32" i="4"/>
  <c r="B32" i="4"/>
  <c r="M32" i="4"/>
  <c r="D31" i="4"/>
  <c r="G31" i="4" l="1"/>
  <c r="I31" i="4" s="1"/>
  <c r="H31" i="4"/>
  <c r="O32" i="4"/>
  <c r="B33" i="4"/>
  <c r="M33" i="4"/>
  <c r="D32" i="4"/>
  <c r="C33" i="4"/>
  <c r="N33" i="4"/>
  <c r="R31" i="4"/>
  <c r="S31" i="4" s="1"/>
  <c r="O33" i="4" l="1"/>
  <c r="C34" i="4"/>
  <c r="N34" i="4"/>
  <c r="G32" i="4"/>
  <c r="I32" i="4" s="1"/>
  <c r="H32" i="4"/>
  <c r="B34" i="4"/>
  <c r="M34" i="4"/>
  <c r="O34" i="4" s="1"/>
  <c r="D33" i="4"/>
  <c r="R32" i="4" l="1"/>
  <c r="S32" i="4" s="1"/>
  <c r="C35" i="4"/>
  <c r="N35" i="4"/>
  <c r="G33" i="4"/>
  <c r="I33" i="4" s="1"/>
  <c r="H33" i="4"/>
  <c r="R33" i="4" s="1"/>
  <c r="S33" i="4" s="1"/>
  <c r="B35" i="4"/>
  <c r="M35" i="4"/>
  <c r="O35" i="4" s="1"/>
  <c r="D34" i="4"/>
  <c r="C36" i="4" l="1"/>
  <c r="N36" i="4"/>
  <c r="G34" i="4"/>
  <c r="I34" i="4" s="1"/>
  <c r="H34" i="4"/>
  <c r="R34" i="4" s="1"/>
  <c r="S34" i="4" s="1"/>
  <c r="B36" i="4"/>
  <c r="M36" i="4"/>
  <c r="O36" i="4" s="1"/>
  <c r="D35" i="4"/>
  <c r="H35" i="4" l="1"/>
  <c r="R35" i="4" s="1"/>
  <c r="S35" i="4" s="1"/>
  <c r="G35" i="4"/>
  <c r="I35" i="4" s="1"/>
  <c r="B37" i="4"/>
  <c r="M37" i="4"/>
  <c r="D36" i="4"/>
  <c r="C37" i="4"/>
  <c r="N37" i="4"/>
  <c r="C38" i="4" l="1"/>
  <c r="N38" i="4"/>
  <c r="B38" i="4"/>
  <c r="M38" i="4"/>
  <c r="O38" i="4" s="1"/>
  <c r="D37" i="4"/>
  <c r="H36" i="4"/>
  <c r="R36" i="4" s="1"/>
  <c r="S36" i="4" s="1"/>
  <c r="G36" i="4"/>
  <c r="I36" i="4" s="1"/>
  <c r="O37" i="4"/>
  <c r="B39" i="4" l="1"/>
  <c r="M39" i="4"/>
  <c r="D38" i="4"/>
  <c r="G37" i="4"/>
  <c r="I37" i="4" s="1"/>
  <c r="H37" i="4"/>
  <c r="R37" i="4" s="1"/>
  <c r="S37" i="4" s="1"/>
  <c r="C39" i="4"/>
  <c r="N39" i="4"/>
  <c r="G38" i="4" l="1"/>
  <c r="I38" i="4" s="1"/>
  <c r="H38" i="4"/>
  <c r="R38" i="4" s="1"/>
  <c r="S38" i="4" s="1"/>
  <c r="O39" i="4"/>
  <c r="C40" i="4"/>
  <c r="N40" i="4"/>
  <c r="B40" i="4"/>
  <c r="M40" i="4"/>
  <c r="D39" i="4"/>
  <c r="H39" i="4" l="1"/>
  <c r="R39" i="4" s="1"/>
  <c r="S39" i="4" s="1"/>
  <c r="G39" i="4"/>
  <c r="I39" i="4" s="1"/>
  <c r="O40" i="4"/>
  <c r="B41" i="4"/>
  <c r="M41" i="4"/>
  <c r="D40" i="4"/>
  <c r="C41" i="4"/>
  <c r="N41" i="4"/>
  <c r="O41" i="4" l="1"/>
  <c r="C42" i="4"/>
  <c r="N42" i="4"/>
  <c r="H40" i="4"/>
  <c r="R40" i="4" s="1"/>
  <c r="S40" i="4" s="1"/>
  <c r="G40" i="4"/>
  <c r="I40" i="4" s="1"/>
  <c r="B42" i="4"/>
  <c r="M42" i="4"/>
  <c r="O42" i="4" s="1"/>
  <c r="D41" i="4"/>
  <c r="H41" i="4" l="1"/>
  <c r="G41" i="4"/>
  <c r="I41" i="4" s="1"/>
  <c r="B43" i="4"/>
  <c r="M43" i="4"/>
  <c r="D42" i="4"/>
  <c r="C43" i="4"/>
  <c r="N43" i="4"/>
  <c r="R41" i="4"/>
  <c r="S41" i="4" s="1"/>
  <c r="B44" i="4" l="1"/>
  <c r="M44" i="4"/>
  <c r="D43" i="4"/>
  <c r="O43" i="4"/>
  <c r="C44" i="4"/>
  <c r="N44" i="4"/>
  <c r="G42" i="4"/>
  <c r="I42" i="4" s="1"/>
  <c r="H42" i="4"/>
  <c r="R42" i="4" s="1"/>
  <c r="S42" i="4" s="1"/>
  <c r="H43" i="4" l="1"/>
  <c r="R43" i="4" s="1"/>
  <c r="S43" i="4" s="1"/>
  <c r="G43" i="4"/>
  <c r="I43" i="4" s="1"/>
  <c r="C45" i="4"/>
  <c r="N45" i="4"/>
  <c r="O44" i="4"/>
  <c r="B45" i="4"/>
  <c r="M45" i="4"/>
  <c r="O45" i="4" s="1"/>
  <c r="D44" i="4"/>
  <c r="B46" i="4" l="1"/>
  <c r="M46" i="4"/>
  <c r="D45" i="4"/>
  <c r="G44" i="4"/>
  <c r="I44" i="4" s="1"/>
  <c r="H44" i="4"/>
  <c r="R44" i="4" s="1"/>
  <c r="S44" i="4" s="1"/>
  <c r="C46" i="4"/>
  <c r="N46" i="4"/>
  <c r="C47" i="4" l="1"/>
  <c r="N47" i="4"/>
  <c r="G45" i="4"/>
  <c r="I45" i="4" s="1"/>
  <c r="H45" i="4"/>
  <c r="R45" i="4" s="1"/>
  <c r="S45" i="4" s="1"/>
  <c r="O46" i="4"/>
  <c r="B47" i="4"/>
  <c r="M47" i="4"/>
  <c r="O47" i="4" s="1"/>
  <c r="D46" i="4"/>
  <c r="H46" i="4" l="1"/>
  <c r="G46" i="4"/>
  <c r="I46" i="4" s="1"/>
  <c r="B48" i="4"/>
  <c r="M48" i="4"/>
  <c r="D47" i="4"/>
  <c r="R46" i="4"/>
  <c r="S46" i="4" s="1"/>
  <c r="C48" i="4"/>
  <c r="N48" i="4"/>
  <c r="G47" i="4" l="1"/>
  <c r="I47" i="4" s="1"/>
  <c r="H47" i="4"/>
  <c r="R47" i="4" s="1"/>
  <c r="S47" i="4" s="1"/>
  <c r="B49" i="4"/>
  <c r="M49" i="4"/>
  <c r="D48" i="4"/>
  <c r="O48" i="4"/>
  <c r="C49" i="4"/>
  <c r="N49" i="4"/>
  <c r="G48" i="4" l="1"/>
  <c r="I48" i="4" s="1"/>
  <c r="H48" i="4"/>
  <c r="R48" i="4" s="1"/>
  <c r="S48" i="4" s="1"/>
  <c r="B50" i="4"/>
  <c r="M50" i="4"/>
  <c r="D49" i="4"/>
  <c r="C50" i="4"/>
  <c r="N50" i="4"/>
  <c r="O49" i="4"/>
  <c r="H49" i="4" l="1"/>
  <c r="G49" i="4"/>
  <c r="I49" i="4" s="1"/>
  <c r="R49" i="4" s="1"/>
  <c r="S49" i="4" s="1"/>
  <c r="B51" i="4"/>
  <c r="M51" i="4"/>
  <c r="D50" i="4"/>
  <c r="O50" i="4"/>
  <c r="C51" i="4"/>
  <c r="N51" i="4"/>
  <c r="C52" i="4" l="1"/>
  <c r="N52" i="4"/>
  <c r="H50" i="4"/>
  <c r="G50" i="4"/>
  <c r="I50" i="4" s="1"/>
  <c r="B52" i="4"/>
  <c r="D52" i="4" s="1"/>
  <c r="M52" i="4"/>
  <c r="O52" i="4" s="1"/>
  <c r="D51" i="4"/>
  <c r="O51" i="4"/>
  <c r="R50" i="4"/>
  <c r="S50" i="4" s="1"/>
  <c r="H51" i="4" l="1"/>
  <c r="G51" i="4"/>
  <c r="I51" i="4" s="1"/>
  <c r="G52" i="4"/>
  <c r="I52" i="4" s="1"/>
  <c r="K52" i="4"/>
  <c r="H52" i="4"/>
  <c r="R52" i="4" l="1"/>
  <c r="R51" i="4"/>
  <c r="S51" i="4" s="1"/>
  <c r="S52" i="4" l="1"/>
  <c r="Q56" i="4" l="1"/>
  <c r="Q59" i="4"/>
  <c r="Q57" i="4"/>
  <c r="Q62" i="4"/>
  <c r="V13" i="23" l="1"/>
  <c r="V7" i="23"/>
  <c r="V6" i="23"/>
  <c r="D4" i="23" s="1"/>
  <c r="V12" i="23"/>
  <c r="V10" i="23"/>
  <c r="N4" i="23" s="1"/>
  <c r="V8" i="23"/>
  <c r="V11" i="23"/>
  <c r="P4" i="23" s="1"/>
  <c r="V9" i="23"/>
  <c r="Q4" i="23" s="1"/>
  <c r="V14" i="23"/>
  <c r="O4" i="23" l="1"/>
  <c r="B4" i="23"/>
  <c r="C20" i="23" a="1"/>
  <c r="C20" i="23" s="1"/>
  <c r="E20" i="23" s="1"/>
  <c r="C4" i="23" l="1"/>
  <c r="M5" i="24"/>
  <c r="C18" i="23" a="1"/>
  <c r="C18" i="23" s="1"/>
  <c r="E18" i="23" s="1"/>
  <c r="C17" i="23" a="1"/>
  <c r="C17" i="23" s="1"/>
  <c r="K17" i="23" l="1"/>
  <c r="P7" i="24" s="1"/>
  <c r="P4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<sst xmlns="http://schemas.openxmlformats.org/spreadsheetml/2006/main" count="487" uniqueCount="124">
  <si>
    <t>Euro</t>
  </si>
  <si>
    <t>EUR_31_03_2024_SWP_LLP_20_EXT_40_UFR_3.30</t>
  </si>
  <si>
    <t>RFR_SPPT_NO_VA</t>
  </si>
  <si>
    <t>SPOT_NO_VA_SHOCK_UP</t>
  </si>
  <si>
    <t>SPOT_NO_VA_SHOCK_DOWN</t>
  </si>
  <si>
    <t>BASE</t>
  </si>
  <si>
    <t>UP</t>
  </si>
  <si>
    <t>DOWN</t>
  </si>
  <si>
    <t>Tavole di mortalità della popolazione residente Italia - Maschi e femmine - Anno 2022</t>
  </si>
  <si>
    <t>Età  x</t>
  </si>
  <si>
    <t>Sopravviventi  lx</t>
  </si>
  <si>
    <t>Decessi  dx</t>
  </si>
  <si>
    <t>Probabilità di morte (per mille)  qx</t>
  </si>
  <si>
    <t>Anni vissuti  Lx</t>
  </si>
  <si>
    <t>Probabilità prospettive di sopravvivenza  Px</t>
  </si>
  <si>
    <t>Speranza di vita  ex</t>
  </si>
  <si>
    <t>Tavole di mortalità della popolazione residente Italia - Maschi - Anno 2022</t>
  </si>
  <si>
    <t>x</t>
  </si>
  <si>
    <t>T (years)</t>
  </si>
  <si>
    <t>Inflation (flat ann rate)</t>
  </si>
  <si>
    <t>Expenses / per year</t>
  </si>
  <si>
    <t>Lapse Rate</t>
  </si>
  <si>
    <t>Lapse down</t>
  </si>
  <si>
    <t>Reg_Ded</t>
  </si>
  <si>
    <t>Lapse up</t>
  </si>
  <si>
    <t>Sigma_Pr</t>
  </si>
  <si>
    <t>Property stress</t>
  </si>
  <si>
    <t>Sigma_Eq</t>
  </si>
  <si>
    <t>Equity stress type 2</t>
  </si>
  <si>
    <t>C0</t>
  </si>
  <si>
    <t>Equity stress type 1</t>
  </si>
  <si>
    <t>F0</t>
  </si>
  <si>
    <t>STRESS</t>
  </si>
  <si>
    <t>DATA</t>
  </si>
  <si>
    <t>DISCOUNTS</t>
  </si>
  <si>
    <t>FWD DISCOUNTS</t>
  </si>
  <si>
    <t>FWD RATES</t>
  </si>
  <si>
    <t>EQUITY</t>
  </si>
  <si>
    <t>PROPERTY</t>
  </si>
  <si>
    <t>ASSET</t>
  </si>
  <si>
    <t>SURVIVAL PROB</t>
  </si>
  <si>
    <t>non LAPSE PROB</t>
  </si>
  <si>
    <t>C lapse</t>
  </si>
  <si>
    <t xml:space="preserve">C death </t>
  </si>
  <si>
    <t>LIAB DEATH</t>
  </si>
  <si>
    <t>LIAB LAPSE</t>
  </si>
  <si>
    <t>LIAB SURVIVE</t>
  </si>
  <si>
    <t>EXPENSES</t>
  </si>
  <si>
    <t>COMMISSIONS</t>
  </si>
  <si>
    <t>EQ COMMISSIONS</t>
  </si>
  <si>
    <t>Commissions</t>
  </si>
  <si>
    <t xml:space="preserve">PR COMMISSIONS </t>
  </si>
  <si>
    <t xml:space="preserve">TOT COMMISSIONS </t>
  </si>
  <si>
    <t>COMMISSIONS LIAB</t>
  </si>
  <si>
    <t>TOT LIAB</t>
  </si>
  <si>
    <t>TOT LIAB DISC</t>
  </si>
  <si>
    <t>LIABILITIES</t>
  </si>
  <si>
    <t>BOF</t>
  </si>
  <si>
    <t>DURATION</t>
  </si>
  <si>
    <t xml:space="preserve">BEL COMPONENTS </t>
  </si>
  <si>
    <t>DEATH</t>
  </si>
  <si>
    <t>LAPSE</t>
  </si>
  <si>
    <t>PROFIT PR</t>
  </si>
  <si>
    <t>PROFIT EQ</t>
  </si>
  <si>
    <t>TOT PROFIT</t>
  </si>
  <si>
    <t xml:space="preserve">PROFIT LIAB </t>
  </si>
  <si>
    <t>Market Risk</t>
  </si>
  <si>
    <t>Life Risk</t>
  </si>
  <si>
    <t>Interest</t>
  </si>
  <si>
    <t>equity</t>
  </si>
  <si>
    <t>property</t>
  </si>
  <si>
    <t>Mortality</t>
  </si>
  <si>
    <t>Lapse</t>
  </si>
  <si>
    <t>Cat</t>
  </si>
  <si>
    <t>expense</t>
  </si>
  <si>
    <t>Corr Market - IR UP</t>
  </si>
  <si>
    <t>Corr Market - IR DOWN</t>
  </si>
  <si>
    <t>Corr Life</t>
  </si>
  <si>
    <t> </t>
  </si>
  <si>
    <t>Equity</t>
  </si>
  <si>
    <t>Property</t>
  </si>
  <si>
    <t>CAT</t>
  </si>
  <si>
    <t>EXPENSE</t>
  </si>
  <si>
    <t>Intermidiate results</t>
  </si>
  <si>
    <t>Corr BSCR</t>
  </si>
  <si>
    <t>BSCR</t>
  </si>
  <si>
    <t>IR UP</t>
  </si>
  <si>
    <t>SCR_market</t>
  </si>
  <si>
    <t>Market</t>
  </si>
  <si>
    <t>Life</t>
  </si>
  <si>
    <t>IR DOWN</t>
  </si>
  <si>
    <t>SCR_life</t>
  </si>
  <si>
    <t>SCR</t>
  </si>
  <si>
    <t>IR up</t>
  </si>
  <si>
    <t>IR down</t>
  </si>
  <si>
    <t>Lapse mass</t>
  </si>
  <si>
    <t>Corr Market  - EQUITY</t>
  </si>
  <si>
    <t>Equity 1</t>
  </si>
  <si>
    <t>Equity 2</t>
  </si>
  <si>
    <t>Expense</t>
  </si>
  <si>
    <t xml:space="preserve">Equity </t>
  </si>
  <si>
    <t xml:space="preserve">Property </t>
  </si>
  <si>
    <t xml:space="preserve">Lapse down </t>
  </si>
  <si>
    <t>PVFP</t>
  </si>
  <si>
    <t>PROFIT LIAB DISCOUNTED</t>
  </si>
  <si>
    <t>LEAK</t>
  </si>
  <si>
    <t>PVFP PROXY</t>
  </si>
  <si>
    <t>Results</t>
  </si>
  <si>
    <t>MVA</t>
  </si>
  <si>
    <t>BEL</t>
  </si>
  <si>
    <t>BoF</t>
  </si>
  <si>
    <t>d_BoF</t>
  </si>
  <si>
    <t>dur_L</t>
  </si>
  <si>
    <t>EQ STRESS 1</t>
  </si>
  <si>
    <t xml:space="preserve"> </t>
  </si>
  <si>
    <t>PROP STRESS</t>
  </si>
  <si>
    <t xml:space="preserve">IR DOWN </t>
  </si>
  <si>
    <t>EXPENSE STRESS</t>
  </si>
  <si>
    <t xml:space="preserve">MORTALITY </t>
  </si>
  <si>
    <t>LIFE CAT</t>
  </si>
  <si>
    <t>LAPSE UP</t>
  </si>
  <si>
    <t xml:space="preserve">LASPE DOWN </t>
  </si>
  <si>
    <t>LASPE MASS</t>
  </si>
  <si>
    <t xml:space="preserve">BASE 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</si>
</sst>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%"/>
    <numFmt numFmtId="165" formatCode="0.000000000"/>
    <numFmt numFmtId="166" formatCode="0.0000000000"/>
    <numFmt numFmtId="167" formatCode="0.00000000"/>
    <numFmt numFmtId="168" formatCode="0.0000"/>
    <numFmt numFmtId="169" formatCode="0.000000"/>
    <numFmt numFmtId="170" formatCode="0.0000000"/>
  </numFmts>
  <fonts count="1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0"/>
      <name val="Verdana"/>
      <family val="2"/>
    </font>
    <font>
      <b/>
      <sz val="11"/>
      <color rgb="FF000099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ED8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dashed">
        <color auto="1"/>
      </bottom>
      <diagonal/>
    </border>
    <border>
      <left style="thin">
        <color indexed="64"/>
      </left>
      <right/>
      <top/>
      <bottom style="dashed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  <xf numFmtId="0" fontId="6" fillId="0" borderId="0"/>
  </cellStyleXfs>
  <cellXfs count="130"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6" fillId="4" borderId="0" xfId="1" applyNumberFormat="1" applyFont="1" applyFill="1"/>
    <xf numFmtId="164" fontId="6" fillId="4" borderId="1" xfId="1" applyNumberFormat="1" applyFont="1" applyFill="1" applyBorder="1"/>
    <xf numFmtId="0" fontId="0" fillId="3" borderId="3" xfId="0" applyFill="1" applyBorder="1"/>
    <xf numFmtId="0" fontId="0" fillId="3" borderId="2" xfId="0" applyFill="1" applyBorder="1"/>
    <xf numFmtId="0" fontId="0" fillId="0" borderId="0" xfId="0" applyAlignment="1">
      <alignment horizontal="center" vertical="center" wrapText="1"/>
    </xf>
    <xf numFmtId="0" fontId="4" fillId="0" borderId="0" xfId="2" applyFont="1" applyFill="1" applyBorder="1" applyAlignment="1">
      <alignment horizontal="center" vertical="center" wrapText="1"/>
    </xf>
    <xf numFmtId="0" fontId="0" fillId="5" borderId="0" xfId="0" applyFill="1"/>
    <xf numFmtId="0" fontId="0" fillId="6" borderId="8" xfId="0" applyFill="1" applyBorder="1"/>
    <xf numFmtId="0" fontId="0" fillId="6" borderId="0" xfId="0" applyFill="1"/>
    <xf numFmtId="0" fontId="0" fillId="6" borderId="9" xfId="0" applyFill="1" applyBorder="1"/>
    <xf numFmtId="1" fontId="7" fillId="0" borderId="0" xfId="3" applyNumberFormat="1"/>
    <xf numFmtId="0" fontId="7" fillId="0" borderId="0" xfId="3"/>
    <xf numFmtId="0" fontId="8" fillId="5" borderId="0" xfId="3" applyFont="1" applyFill="1"/>
    <xf numFmtId="1" fontId="0" fillId="0" borderId="0" xfId="0" applyNumberFormat="1"/>
    <xf numFmtId="0" fontId="8" fillId="5" borderId="0" xfId="0" applyFont="1" applyFill="1"/>
    <xf numFmtId="0" fontId="6" fillId="0" borderId="0" xfId="4"/>
    <xf numFmtId="0" fontId="6" fillId="0" borderId="10" xfId="4" applyBorder="1"/>
    <xf numFmtId="9" fontId="6" fillId="0" borderId="10" xfId="4" applyNumberFormat="1" applyBorder="1"/>
    <xf numFmtId="2" fontId="6" fillId="0" borderId="10" xfId="4" applyNumberFormat="1" applyBorder="1"/>
    <xf numFmtId="10" fontId="6" fillId="0" borderId="10" xfId="4" applyNumberFormat="1" applyBorder="1"/>
    <xf numFmtId="0" fontId="6" fillId="0" borderId="0" xfId="4" applyAlignment="1">
      <alignment horizontal="center"/>
    </xf>
    <xf numFmtId="0" fontId="0" fillId="3" borderId="4" xfId="0" applyFill="1" applyBorder="1"/>
    <xf numFmtId="0" fontId="6" fillId="8" borderId="10" xfId="4" applyFill="1" applyBorder="1"/>
    <xf numFmtId="164" fontId="6" fillId="0" borderId="0" xfId="1" applyNumberFormat="1" applyFont="1" applyFill="1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65" fontId="0" fillId="0" borderId="11" xfId="0" applyNumberFormat="1" applyBorder="1"/>
    <xf numFmtId="166" fontId="0" fillId="0" borderId="11" xfId="0" applyNumberFormat="1" applyBorder="1"/>
    <xf numFmtId="165" fontId="0" fillId="0" borderId="0" xfId="0" applyNumberFormat="1"/>
    <xf numFmtId="167" fontId="0" fillId="0" borderId="11" xfId="0" applyNumberFormat="1" applyBorder="1"/>
    <xf numFmtId="167" fontId="0" fillId="0" borderId="0" xfId="0" applyNumberFormat="1"/>
    <xf numFmtId="166" fontId="0" fillId="0" borderId="0" xfId="0" applyNumberFormat="1"/>
    <xf numFmtId="166" fontId="0" fillId="0" borderId="12" xfId="0" applyNumberFormat="1" applyBorder="1"/>
    <xf numFmtId="0" fontId="0" fillId="3" borderId="1" xfId="0" applyFill="1" applyBorder="1"/>
    <xf numFmtId="0" fontId="0" fillId="5" borderId="0" xfId="0" applyFill="1" applyAlignment="1">
      <alignment horizontal="center"/>
    </xf>
    <xf numFmtId="2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0" fillId="0" borderId="16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2" fontId="0" fillId="0" borderId="21" xfId="0" applyNumberFormat="1" applyBorder="1"/>
    <xf numFmtId="0" fontId="0" fillId="6" borderId="4" xfId="0" applyFill="1" applyBorder="1"/>
    <xf numFmtId="0" fontId="0" fillId="6" borderId="3" xfId="0" applyFill="1" applyBorder="1"/>
    <xf numFmtId="0" fontId="0" fillId="6" borderId="17" xfId="0" applyFill="1" applyBorder="1"/>
    <xf numFmtId="0" fontId="0" fillId="6" borderId="19" xfId="0" applyFill="1" applyBorder="1"/>
    <xf numFmtId="0" fontId="0" fillId="5" borderId="10" xfId="0" applyFill="1" applyBorder="1"/>
    <xf numFmtId="0" fontId="9" fillId="0" borderId="0" xfId="0" applyFont="1"/>
    <xf numFmtId="0" fontId="9" fillId="9" borderId="25" xfId="0" applyFont="1" applyFill="1" applyBorder="1"/>
    <xf numFmtId="0" fontId="10" fillId="10" borderId="26" xfId="0" applyFont="1" applyFill="1" applyBorder="1"/>
    <xf numFmtId="0" fontId="10" fillId="10" borderId="27" xfId="0" applyFont="1" applyFill="1" applyBorder="1"/>
    <xf numFmtId="0" fontId="10" fillId="10" borderId="28" xfId="0" applyFont="1" applyFill="1" applyBorder="1"/>
    <xf numFmtId="0" fontId="9" fillId="9" borderId="29" xfId="0" applyFont="1" applyFill="1" applyBorder="1"/>
    <xf numFmtId="0" fontId="9" fillId="9" borderId="18" xfId="0" applyFont="1" applyFill="1" applyBorder="1"/>
    <xf numFmtId="0" fontId="9" fillId="9" borderId="21" xfId="0" applyFont="1" applyFill="1" applyBorder="1"/>
    <xf numFmtId="0" fontId="9" fillId="10" borderId="29" xfId="0" applyFont="1" applyFill="1" applyBorder="1"/>
    <xf numFmtId="0" fontId="9" fillId="10" borderId="18" xfId="0" applyFont="1" applyFill="1" applyBorder="1"/>
    <xf numFmtId="0" fontId="9" fillId="0" borderId="29" xfId="0" applyFont="1" applyBorder="1"/>
    <xf numFmtId="0" fontId="9" fillId="0" borderId="22" xfId="0" applyFont="1" applyBorder="1"/>
    <xf numFmtId="0" fontId="9" fillId="0" borderId="30" xfId="0" applyFont="1" applyBorder="1"/>
    <xf numFmtId="0" fontId="9" fillId="0" borderId="18" xfId="0" applyFont="1" applyBorder="1"/>
    <xf numFmtId="0" fontId="10" fillId="9" borderId="25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10" fillId="10" borderId="26" xfId="0" applyFont="1" applyFill="1" applyBorder="1" applyAlignment="1">
      <alignment wrapText="1"/>
    </xf>
    <xf numFmtId="0" fontId="10" fillId="10" borderId="27" xfId="0" applyFont="1" applyFill="1" applyBorder="1" applyAlignment="1">
      <alignment wrapText="1"/>
    </xf>
    <xf numFmtId="0" fontId="10" fillId="10" borderId="28" xfId="0" applyFont="1" applyFill="1" applyBorder="1" applyAlignment="1">
      <alignment wrapText="1"/>
    </xf>
    <xf numFmtId="0" fontId="9" fillId="0" borderId="29" xfId="0" applyFont="1" applyBorder="1" applyAlignment="1">
      <alignment wrapText="1"/>
    </xf>
    <xf numFmtId="0" fontId="9" fillId="9" borderId="18" xfId="0" applyFont="1" applyFill="1" applyBorder="1" applyAlignment="1">
      <alignment wrapText="1"/>
    </xf>
    <xf numFmtId="0" fontId="9" fillId="9" borderId="21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9" fillId="9" borderId="29" xfId="0" applyFont="1" applyFill="1" applyBorder="1" applyAlignment="1">
      <alignment wrapText="1"/>
    </xf>
    <xf numFmtId="0" fontId="9" fillId="0" borderId="18" xfId="0" applyFont="1" applyBorder="1" applyAlignment="1">
      <alignment wrapText="1"/>
    </xf>
    <xf numFmtId="0" fontId="9" fillId="0" borderId="22" xfId="0" applyFont="1" applyBorder="1" applyAlignment="1">
      <alignment wrapText="1"/>
    </xf>
    <xf numFmtId="0" fontId="9" fillId="0" borderId="30" xfId="0" applyFont="1" applyBorder="1" applyAlignment="1">
      <alignment wrapText="1"/>
    </xf>
    <xf numFmtId="0" fontId="9" fillId="9" borderId="33" xfId="0" applyFont="1" applyFill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34" xfId="0" applyFont="1" applyBorder="1" applyAlignment="1">
      <alignment horizontal="right" wrapText="1"/>
    </xf>
    <xf numFmtId="0" fontId="9" fillId="9" borderId="30" xfId="0" applyFont="1" applyFill="1" applyBorder="1" applyAlignment="1">
      <alignment wrapText="1"/>
    </xf>
    <xf numFmtId="0" fontId="9" fillId="0" borderId="35" xfId="0" applyFont="1" applyBorder="1" applyAlignment="1">
      <alignment wrapText="1"/>
    </xf>
    <xf numFmtId="0" fontId="9" fillId="0" borderId="36" xfId="0" applyFont="1" applyBorder="1" applyAlignment="1">
      <alignment horizontal="right" wrapText="1"/>
    </xf>
    <xf numFmtId="0" fontId="9" fillId="0" borderId="34" xfId="0" applyFont="1" applyBorder="1" applyAlignment="1">
      <alignment wrapText="1"/>
    </xf>
    <xf numFmtId="0" fontId="10" fillId="11" borderId="37" xfId="0" applyFont="1" applyFill="1" applyBorder="1"/>
    <xf numFmtId="0" fontId="10" fillId="9" borderId="18" xfId="0" applyFont="1" applyFill="1" applyBorder="1"/>
    <xf numFmtId="0" fontId="9" fillId="11" borderId="18" xfId="0" applyFont="1" applyFill="1" applyBorder="1"/>
    <xf numFmtId="0" fontId="9" fillId="12" borderId="18" xfId="0" applyFont="1" applyFill="1" applyBorder="1"/>
    <xf numFmtId="0" fontId="9" fillId="11" borderId="29" xfId="0" applyFont="1" applyFill="1" applyBorder="1" applyAlignment="1">
      <alignment wrapText="1"/>
    </xf>
    <xf numFmtId="0" fontId="10" fillId="10" borderId="18" xfId="0" applyFont="1" applyFill="1" applyBorder="1"/>
    <xf numFmtId="0" fontId="9" fillId="10" borderId="29" xfId="0" applyFont="1" applyFill="1" applyBorder="1" applyAlignment="1">
      <alignment wrapText="1"/>
    </xf>
    <xf numFmtId="0" fontId="10" fillId="0" borderId="0" xfId="0" applyFont="1"/>
    <xf numFmtId="0" fontId="0" fillId="13" borderId="10" xfId="0" applyFill="1" applyBorder="1"/>
    <xf numFmtId="0" fontId="9" fillId="13" borderId="10" xfId="0" applyFont="1" applyFill="1" applyBorder="1"/>
    <xf numFmtId="0" fontId="0" fillId="13" borderId="29" xfId="0" applyFill="1" applyBorder="1"/>
    <xf numFmtId="0" fontId="0" fillId="0" borderId="10" xfId="0" applyBorder="1"/>
    <xf numFmtId="0" fontId="1" fillId="8" borderId="10" xfId="4" applyFont="1" applyFill="1" applyBorder="1"/>
    <xf numFmtId="0" fontId="0" fillId="14" borderId="10" xfId="0" applyFill="1" applyBorder="1"/>
    <xf numFmtId="2" fontId="0" fillId="0" borderId="20" xfId="0" applyNumberFormat="1" applyBorder="1"/>
    <xf numFmtId="0" fontId="0" fillId="14" borderId="19" xfId="0" applyFill="1" applyBorder="1" applyAlignment="1">
      <alignment horizontal="center"/>
    </xf>
    <xf numFmtId="0" fontId="0" fillId="14" borderId="2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7" fillId="7" borderId="0" xfId="3" applyFill="1" applyAlignment="1">
      <alignment horizontal="center"/>
    </xf>
    <xf numFmtId="0" fontId="0" fillId="7" borderId="0" xfId="0" applyFill="1" applyAlignment="1">
      <alignment horizontal="center"/>
    </xf>
    <xf numFmtId="0" fontId="6" fillId="6" borderId="10" xfId="4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11" fillId="13" borderId="26" xfId="0" applyFont="1" applyFill="1" applyBorder="1" applyAlignment="1">
      <alignment horizontal="center"/>
    </xf>
    <xf numFmtId="0" fontId="11" fillId="13" borderId="27" xfId="0" applyFont="1" applyFill="1" applyBorder="1" applyAlignment="1">
      <alignment horizontal="center"/>
    </xf>
    <xf numFmtId="0" fontId="11" fillId="13" borderId="38" xfId="0" applyFont="1" applyFill="1" applyBorder="1" applyAlignment="1">
      <alignment horizontal="center"/>
    </xf>
    <xf numFmtId="0" fontId="10" fillId="9" borderId="23" xfId="0" applyFont="1" applyFill="1" applyBorder="1"/>
    <xf numFmtId="0" fontId="10" fillId="9" borderId="24" xfId="0" applyFont="1" applyFill="1" applyBorder="1"/>
    <xf numFmtId="0" fontId="10" fillId="9" borderId="31" xfId="0" applyFont="1" applyFill="1" applyBorder="1" applyAlignment="1">
      <alignment wrapText="1"/>
    </xf>
    <xf numFmtId="0" fontId="10" fillId="9" borderId="32" xfId="0" applyFont="1" applyFill="1" applyBorder="1" applyAlignment="1">
      <alignment wrapText="1"/>
    </xf>
    <xf numFmtId="0" fontId="10" fillId="11" borderId="26" xfId="0" applyFont="1" applyFill="1" applyBorder="1"/>
    <xf numFmtId="0" fontId="10" fillId="11" borderId="27" xfId="0" applyFont="1" applyFill="1" applyBorder="1"/>
    <xf numFmtId="0" fontId="10" fillId="11" borderId="28" xfId="0" applyFont="1" applyFill="1" applyBorder="1"/>
    <xf numFmtId="0" fontId="10" fillId="11" borderId="26" xfId="0" applyFont="1" applyFill="1" applyBorder="1" applyAlignment="1">
      <alignment wrapText="1"/>
    </xf>
    <xf numFmtId="0" fontId="10" fillId="11" borderId="27" xfId="0" applyFont="1" applyFill="1" applyBorder="1" applyAlignment="1">
      <alignment wrapText="1"/>
    </xf>
    <xf numFmtId="0" fontId="10" fillId="11" borderId="28" xfId="0" applyFont="1" applyFill="1" applyBorder="1" applyAlignment="1">
      <alignment wrapText="1"/>
    </xf>
    <xf numFmtId="168" fontId="9" fillId="12" borderId="29" xfId="0" applyNumberFormat="1" applyFont="1" applyFill="1" applyBorder="1"/>
  </cellXfs>
  <cellStyles count="5">
    <cellStyle name="Collegamento ipertestuale" xfId="2" builtinId="8"/>
    <cellStyle name="Normale" xfId="0" builtinId="0"/>
    <cellStyle name="Normale 2" xfId="3" xr:uid="{16E09DDE-F3F6-4143-9570-40CCDDF249BA}"/>
    <cellStyle name="Normale 3" xfId="4" xr:uid="{7B65FD21-10C5-F644-8D3C-F36D19134044}"/>
    <cellStyle name="Percentuale" xfId="1" builtinId="5"/>
  </cellStyles>
  <dxfs count="0"/>
  <tableStyles count="0" defaultTableStyle="TableStyleMedium2" defaultPivotStyle="PivotStyleLight16"/>
  <colors>
    <mruColors>
      <color rgb="FFFFED8F"/>
      <color rgb="FFF1EA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9A77-9C96-4D44-8272-0023B04061CA}">
  <dimension ref="B4:Q15"/>
  <sheetViews>
    <sheetView zoomScale="112" workbookViewId="0">
      <selection activeCell="Q12" sqref="Q12"/>
    </sheetView>
  </sheetViews>
  <sheetFormatPr defaultRowHeight="15.6" x14ac:dyDescent="0.3"/>
  <cols>
    <col min="3" max="3" width="14.796875" bestFit="1" customWidth="1"/>
    <col min="12" max="12" width="10.796875" bestFit="1" customWidth="1"/>
    <col min="15" max="15" width="11.8984375" bestFit="1" customWidth="1"/>
    <col min="16" max="16" width="10.69921875" customWidth="1"/>
  </cols>
  <sheetData>
    <row r="4" spans="2:17" x14ac:dyDescent="0.3">
      <c r="C4" s="104" t="s">
        <v>107</v>
      </c>
      <c r="D4" s="104" t="s">
        <v>108</v>
      </c>
      <c r="E4" s="104" t="s">
        <v>109</v>
      </c>
      <c r="F4" s="104" t="s">
        <v>110</v>
      </c>
      <c r="G4" s="104" t="s">
        <v>111</v>
      </c>
      <c r="H4" s="104" t="s">
        <v>112</v>
      </c>
      <c r="L4" s="106" t="str">
        <f>BSCR!U4</f>
        <v>SCR</v>
      </c>
      <c r="M4" s="107"/>
      <c r="O4" s="104" t="s">
        <v>87</v>
      </c>
      <c r="P4" s="102">
        <f>BSCR!E18</f>
        <v>2221.187489071654</v>
      </c>
    </row>
    <row r="5" spans="2:17" x14ac:dyDescent="0.3">
      <c r="C5" s="99" t="s">
        <v>5</v>
      </c>
      <c r="D5" s="102">
        <f>BASE!D2</f>
        <v>100000</v>
      </c>
      <c r="E5" s="102">
        <f>BASE!Q56</f>
        <v>94493.615846372952</v>
      </c>
      <c r="F5" s="102">
        <f>BASE!Q57</f>
        <v>5506.3841536270484</v>
      </c>
      <c r="G5" s="102">
        <f>$F$5-F5</f>
        <v>0</v>
      </c>
      <c r="H5" s="102">
        <f>BASE!Q59</f>
        <v>5.6130733790753737</v>
      </c>
      <c r="L5" s="99" t="str">
        <f>BSCR!U5</f>
        <v xml:space="preserve">Equity </v>
      </c>
      <c r="M5" s="102">
        <f>BSCR!V5</f>
        <v>1790.2663881955596</v>
      </c>
      <c r="O5" s="104" t="s">
        <v>91</v>
      </c>
      <c r="P5" s="102">
        <f>BSCR!E20</f>
        <v>1568.0585477392301</v>
      </c>
    </row>
    <row r="6" spans="2:17" x14ac:dyDescent="0.3">
      <c r="C6" s="99" t="s">
        <v>113</v>
      </c>
      <c r="D6" s="102">
        <f>'EQ STRESS 1'!D2</f>
        <v>68800</v>
      </c>
      <c r="E6" s="102">
        <f>'EQ STRESS 1'!Q56</f>
        <v>65083.882234568511</v>
      </c>
      <c r="F6" s="102">
        <f>'EQ STRESS 1'!Q57</f>
        <v>3716.1177654314888</v>
      </c>
      <c r="G6" s="102">
        <f t="shared" ref="G6" si="0">$F$5-F6</f>
        <v>1790.2663881955596</v>
      </c>
      <c r="H6" s="102">
        <f>'EQ STRESS 1'!Q59</f>
        <v>5.6132955939645344</v>
      </c>
      <c r="L6" s="99" t="str">
        <f>BSCR!U6</f>
        <v xml:space="preserve">Property </v>
      </c>
      <c r="M6" s="102">
        <f>BSCR!V6</f>
        <v>286.90166477496678</v>
      </c>
    </row>
    <row r="7" spans="2:17" x14ac:dyDescent="0.3">
      <c r="B7" t="s">
        <v>114</v>
      </c>
      <c r="C7" s="99" t="s">
        <v>115</v>
      </c>
      <c r="D7" s="102">
        <f>'PROPERTY STRESS'!$D$2</f>
        <v>95000</v>
      </c>
      <c r="E7" s="102">
        <f>'PROPERTY STRESS'!$Q$56</f>
        <v>89780.517511147918</v>
      </c>
      <c r="F7" s="102">
        <f>'PROPERTY STRESS'!$Q$57</f>
        <v>5219.4824888520816</v>
      </c>
      <c r="G7" s="102">
        <f>$F$5-$F$7</f>
        <v>286.90166477496678</v>
      </c>
      <c r="H7" s="102">
        <f>'PROPERTY STRESS'!$Q$59</f>
        <v>5.6130991945379405</v>
      </c>
      <c r="L7" s="99" t="str">
        <f>BSCR!U7</f>
        <v>IR up</v>
      </c>
      <c r="M7" s="102">
        <f>BSCR!V7</f>
        <v>0</v>
      </c>
      <c r="O7" s="104" t="s">
        <v>85</v>
      </c>
      <c r="P7" s="102">
        <f>BSCR!K17</f>
        <v>3022.2437831736252</v>
      </c>
    </row>
    <row r="8" spans="2:17" x14ac:dyDescent="0.3">
      <c r="C8" s="99" t="s">
        <v>86</v>
      </c>
      <c r="D8" s="102">
        <f>'IR UP '!$D$2</f>
        <v>100000</v>
      </c>
      <c r="E8" s="102">
        <f>'IR UP '!$Q$56</f>
        <v>94477.93037829292</v>
      </c>
      <c r="F8" s="102">
        <f>'IR UP '!$Q$57</f>
        <v>5522.0696217070799</v>
      </c>
      <c r="G8" s="102">
        <f>$F$5-$F$8</f>
        <v>-15.685468080031569</v>
      </c>
      <c r="H8" s="102">
        <f>'IR UP '!$Q$59</f>
        <v>5.6125886697966862</v>
      </c>
      <c r="L8" s="99" t="str">
        <f>BSCR!U8</f>
        <v>IR down</v>
      </c>
      <c r="M8" s="102">
        <f>BSCR!V8</f>
        <v>359.45700473642501</v>
      </c>
    </row>
    <row r="9" spans="2:17" x14ac:dyDescent="0.3">
      <c r="C9" s="99" t="s">
        <v>116</v>
      </c>
      <c r="D9" s="102">
        <f>'IR DOWN '!$D$2</f>
        <v>100000</v>
      </c>
      <c r="E9" s="102">
        <f>'IR DOWN '!$Q$56</f>
        <v>94853.072851109377</v>
      </c>
      <c r="F9" s="102">
        <f>'IR DOWN '!$Q$57</f>
        <v>5146.9271488906234</v>
      </c>
      <c r="G9" s="102">
        <f>$F$5-$F$9</f>
        <v>359.45700473642501</v>
      </c>
      <c r="H9" s="102">
        <f>'IR DOWN '!$Q$59</f>
        <v>5.6400304992081587</v>
      </c>
      <c r="L9" s="99" t="str">
        <f>BSCR!U9</f>
        <v>Expense</v>
      </c>
      <c r="M9" s="102">
        <f>BSCR!V9</f>
        <v>38.106405239974265</v>
      </c>
    </row>
    <row r="10" spans="2:17" x14ac:dyDescent="0.3">
      <c r="C10" s="99" t="s">
        <v>117</v>
      </c>
      <c r="D10" s="102">
        <f>'EXPENSE STRESS'!$D$2</f>
        <v>100000</v>
      </c>
      <c r="E10" s="102">
        <f>'EXPENSE STRESS'!$Q$56</f>
        <v>94531.722251612926</v>
      </c>
      <c r="F10" s="102">
        <f>'EXPENSE STRESS'!$Q$57</f>
        <v>5468.2777483870741</v>
      </c>
      <c r="G10" s="102">
        <f>$F$5-$F$10</f>
        <v>38.106405239974265</v>
      </c>
      <c r="H10" s="102">
        <f>'EXPENSE STRESS'!$Q$59</f>
        <v>5.613874086595751</v>
      </c>
      <c r="L10" s="99" t="str">
        <f>BSCR!U10</f>
        <v>Mortality</v>
      </c>
      <c r="M10" s="102">
        <f>BSCR!V10</f>
        <v>29.306650476166396</v>
      </c>
      <c r="O10" s="104" t="s">
        <v>123</v>
      </c>
      <c r="P10" s="99" t="str">
        <f>BASE!P61</f>
        <v>PVFP</v>
      </c>
      <c r="Q10" s="102">
        <f>BASE!Q61</f>
        <v>3765.868329583916</v>
      </c>
    </row>
    <row r="11" spans="2:17" x14ac:dyDescent="0.3">
      <c r="C11" s="99" t="s">
        <v>118</v>
      </c>
      <c r="D11" s="102">
        <f>'LIFE CAT'!$D$2</f>
        <v>100000</v>
      </c>
      <c r="E11" s="102">
        <f>'LIFE CAT'!$Q$56</f>
        <v>94498.607709324031</v>
      </c>
      <c r="F11" s="102">
        <f>'LIFE CAT'!$Q$57</f>
        <v>5501.392290675969</v>
      </c>
      <c r="G11" s="102">
        <f>$F$5-$F$11</f>
        <v>4.9918629510793835</v>
      </c>
      <c r="H11" s="102">
        <f>'LIFE CAT'!$Q$59</f>
        <v>5.6058654060876218</v>
      </c>
      <c r="L11" s="99" t="str">
        <f>BSCR!U11</f>
        <v>Cat</v>
      </c>
      <c r="M11" s="102">
        <f>BSCR!V11</f>
        <v>4.9918629510793835</v>
      </c>
      <c r="P11" s="99" t="str">
        <f>BASE!P62</f>
        <v>LEAK</v>
      </c>
      <c r="Q11" s="102">
        <f>BASE!Q62</f>
        <v>1740.5158240431324</v>
      </c>
    </row>
    <row r="12" spans="2:17" x14ac:dyDescent="0.3">
      <c r="C12" s="99" t="s">
        <v>119</v>
      </c>
      <c r="D12" s="102">
        <f>'LIFE CAT'!$D$2</f>
        <v>100000</v>
      </c>
      <c r="E12" s="102">
        <f>'LIFE CAT'!$Q$56</f>
        <v>94498.607709324031</v>
      </c>
      <c r="F12" s="102">
        <f>'LIFE CAT'!$Q$57</f>
        <v>5501.392290675969</v>
      </c>
      <c r="G12" s="102">
        <f>$F$5-$F$12</f>
        <v>4.9918629510793835</v>
      </c>
      <c r="H12" s="102">
        <f>'LIFE CAT'!$Q$59</f>
        <v>5.6058654060876218</v>
      </c>
      <c r="L12" s="99" t="str">
        <f>BSCR!U12</f>
        <v>Lapse up</v>
      </c>
      <c r="M12" s="102">
        <f>BSCR!V12</f>
        <v>1130.4727217529144</v>
      </c>
      <c r="P12" s="99" t="str">
        <f>BASE!P63</f>
        <v>PVFP PROXY</v>
      </c>
      <c r="Q12" s="102">
        <f>BASE!Q63</f>
        <v>4490.4587032602985</v>
      </c>
    </row>
    <row r="13" spans="2:17" x14ac:dyDescent="0.3">
      <c r="C13" s="99" t="s">
        <v>120</v>
      </c>
      <c r="D13" s="102">
        <f>'LAPSE STRESS UP '!$D$2</f>
        <v>100000</v>
      </c>
      <c r="E13" s="102">
        <f>'LAPSE STRESS UP '!$Q$56</f>
        <v>95624.088568125866</v>
      </c>
      <c r="F13" s="102">
        <f>'LAPSE STRESS UP '!$Q$57</f>
        <v>4375.911431874134</v>
      </c>
      <c r="G13" s="102">
        <f>$F$5-$F$13</f>
        <v>1130.4727217529144</v>
      </c>
      <c r="H13" s="102">
        <f>'LAPSE STRESS UP '!$Q$59</f>
        <v>4.0158341058477554</v>
      </c>
      <c r="L13" s="99" t="str">
        <f>BSCR!U13</f>
        <v xml:space="preserve">Lapse down </v>
      </c>
      <c r="M13" s="102">
        <f>BSCR!V13</f>
        <v>0</v>
      </c>
    </row>
    <row r="14" spans="2:17" x14ac:dyDescent="0.3">
      <c r="C14" s="99" t="s">
        <v>121</v>
      </c>
      <c r="D14" s="102">
        <f>'LAPSE STRESS DOWN'!$D$2</f>
        <v>100000</v>
      </c>
      <c r="E14" s="102">
        <f>'LAPSE STRESS DOWN'!$Q$56</f>
        <v>92119.809152717833</v>
      </c>
      <c r="F14" s="102">
        <f>'LAPSE STRESS DOWN'!$Q$57</f>
        <v>7880.1908472821669</v>
      </c>
      <c r="G14" s="102">
        <f>$F$5-$F$14</f>
        <v>-2373.8066936551186</v>
      </c>
      <c r="H14" s="102">
        <f>'LAPSE STRESS DOWN'!$Q$59</f>
        <v>9.0321240550908968</v>
      </c>
      <c r="L14" s="99" t="str">
        <f>BSCR!U14</f>
        <v>Lapse mass</v>
      </c>
      <c r="M14" s="102">
        <f>BSCR!V14</f>
        <v>1546.912029034138</v>
      </c>
    </row>
    <row r="15" spans="2:17" x14ac:dyDescent="0.3">
      <c r="C15" s="99" t="s">
        <v>122</v>
      </c>
      <c r="D15" s="102">
        <f>'LAPSE MASS'!$D$2</f>
        <v>100000</v>
      </c>
      <c r="E15" s="102">
        <f>'LAPSE MASS'!$Q$56</f>
        <v>96040.52787540709</v>
      </c>
      <c r="F15" s="102">
        <f>'LAPSE MASS'!$Q$57</f>
        <v>3959.4721245929104</v>
      </c>
      <c r="G15" s="102">
        <f>$F$5-$F$15</f>
        <v>1546.912029034138</v>
      </c>
      <c r="H15" s="102">
        <f>'LAPSE MASS'!$Q$59</f>
        <v>3.4028788805093204</v>
      </c>
    </row>
  </sheetData>
  <mergeCells count="1">
    <mergeCell ref="L4:M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83A8-E7E6-AE4C-98C4-991B506134FE}">
  <dimension ref="B1:Q154"/>
  <sheetViews>
    <sheetView zoomScale="61" workbookViewId="0">
      <selection activeCell="O5" sqref="O5"/>
    </sheetView>
  </sheetViews>
  <sheetFormatPr defaultColWidth="11.19921875" defaultRowHeight="15.6" x14ac:dyDescent="0.3"/>
  <cols>
    <col min="3" max="3" width="26.796875" customWidth="1"/>
    <col min="4" max="4" width="25" customWidth="1"/>
    <col min="5" max="5" width="25.5" customWidth="1"/>
    <col min="11" max="11" width="13.69921875" bestFit="1" customWidth="1"/>
    <col min="12" max="12" width="11.69921875" bestFit="1" customWidth="1"/>
    <col min="13" max="13" width="12.69921875" bestFit="1" customWidth="1"/>
    <col min="15" max="17" width="12.69921875" bestFit="1" customWidth="1"/>
  </cols>
  <sheetData>
    <row r="1" spans="2:17" x14ac:dyDescent="0.3">
      <c r="C1" s="9" t="s">
        <v>2</v>
      </c>
      <c r="D1" s="9" t="s">
        <v>3</v>
      </c>
      <c r="E1" s="9" t="s">
        <v>4</v>
      </c>
      <c r="G1" s="108" t="s">
        <v>34</v>
      </c>
      <c r="H1" s="109"/>
      <c r="I1" s="110"/>
      <c r="K1" s="108" t="s">
        <v>35</v>
      </c>
      <c r="L1" s="109"/>
      <c r="M1" s="110"/>
      <c r="O1" s="108" t="s">
        <v>36</v>
      </c>
      <c r="P1" s="109"/>
      <c r="Q1" s="110"/>
    </row>
    <row r="2" spans="2:17" ht="16.2" x14ac:dyDescent="0.3">
      <c r="B2" s="8"/>
      <c r="C2" s="1" t="s">
        <v>0</v>
      </c>
      <c r="D2" s="1" t="s">
        <v>0</v>
      </c>
      <c r="E2" s="1" t="s">
        <v>0</v>
      </c>
      <c r="G2" s="10" t="s">
        <v>5</v>
      </c>
      <c r="H2" s="11" t="s">
        <v>6</v>
      </c>
      <c r="I2" s="12" t="s">
        <v>7</v>
      </c>
      <c r="K2" s="10" t="s">
        <v>5</v>
      </c>
      <c r="L2" s="11" t="s">
        <v>6</v>
      </c>
      <c r="M2" s="12" t="s">
        <v>7</v>
      </c>
      <c r="O2" s="10" t="s">
        <v>5</v>
      </c>
      <c r="P2" s="11" t="s">
        <v>6</v>
      </c>
      <c r="Q2" s="12" t="s">
        <v>7</v>
      </c>
    </row>
    <row r="3" spans="2:17" ht="33" customHeight="1" x14ac:dyDescent="0.3">
      <c r="B3" s="7"/>
      <c r="C3" s="2" t="s">
        <v>1</v>
      </c>
      <c r="D3" s="2" t="s">
        <v>1</v>
      </c>
      <c r="E3" s="2" t="s">
        <v>1</v>
      </c>
      <c r="G3" s="27">
        <v>1</v>
      </c>
      <c r="H3">
        <v>1</v>
      </c>
      <c r="I3" s="28">
        <v>1</v>
      </c>
      <c r="K3" s="27"/>
      <c r="M3" s="28"/>
      <c r="O3" s="27"/>
      <c r="Q3" s="28"/>
    </row>
    <row r="4" spans="2:17" x14ac:dyDescent="0.3">
      <c r="B4" s="24">
        <v>1</v>
      </c>
      <c r="C4" s="3">
        <v>3.5139999999999998E-2</v>
      </c>
      <c r="D4" s="3">
        <v>5.9740000000000001E-2</v>
      </c>
      <c r="E4" s="3">
        <v>8.7899999999999992E-3</v>
      </c>
      <c r="G4" s="29">
        <f>(1+C4)^(-$B4)</f>
        <v>0.96605290105686192</v>
      </c>
      <c r="H4">
        <f t="shared" ref="H4:I4" si="0">(1+D4)^(-$B4)</f>
        <v>0.94362768226168692</v>
      </c>
      <c r="I4" s="30">
        <f t="shared" si="0"/>
        <v>0.99128659086628523</v>
      </c>
      <c r="K4" s="29">
        <f>G4/G3</f>
        <v>0.96605290105686192</v>
      </c>
      <c r="L4">
        <f t="shared" ref="L4:M4" si="1">H4/H3</f>
        <v>0.94362768226168692</v>
      </c>
      <c r="M4" s="30">
        <f t="shared" si="1"/>
        <v>0.99128659086628523</v>
      </c>
      <c r="O4" s="29">
        <f>-LN(K4)</f>
        <v>3.4536683270235465E-2</v>
      </c>
      <c r="P4">
        <f t="shared" ref="P4:Q4" si="2">-LN(L4)</f>
        <v>5.802359501830813E-2</v>
      </c>
      <c r="Q4" s="30">
        <f t="shared" si="2"/>
        <v>8.7515928517963373E-3</v>
      </c>
    </row>
    <row r="5" spans="2:17" x14ac:dyDescent="0.3">
      <c r="B5" s="5">
        <v>2</v>
      </c>
      <c r="C5" s="3">
        <v>3.0349999999999999E-2</v>
      </c>
      <c r="D5" s="3">
        <v>5.16E-2</v>
      </c>
      <c r="E5" s="3">
        <v>1.0619999999999999E-2</v>
      </c>
      <c r="G5" s="29">
        <f t="shared" ref="G5:G68" si="3">(1+C5)^(-$B5)</f>
        <v>0.94195563634332236</v>
      </c>
      <c r="H5">
        <f t="shared" ref="H5:H68" si="4">(1+D5)^(-$B5)</f>
        <v>0.90427150368486997</v>
      </c>
      <c r="I5" s="30">
        <f t="shared" ref="I5:I68" si="5">(1+E5)^(-$B5)</f>
        <v>0.97909362491967555</v>
      </c>
      <c r="K5" s="29">
        <f t="shared" ref="K5:K68" si="6">G5/G4</f>
        <v>0.97505595740442663</v>
      </c>
      <c r="L5">
        <f t="shared" ref="L5:L68" si="7">H5/H4</f>
        <v>0.95829268331500406</v>
      </c>
      <c r="M5" s="30">
        <f t="shared" ref="M5:M68" si="8">I5/I4</f>
        <v>0.98769985788271963</v>
      </c>
      <c r="O5" s="29">
        <f t="shared" ref="O5:O68" si="9">-LN(K5)</f>
        <v>2.5260417421491387E-2</v>
      </c>
      <c r="P5">
        <f t="shared" ref="P5:P68" si="10">-LN(L5)</f>
        <v>4.2602032728870275E-2</v>
      </c>
      <c r="Q5" s="30">
        <f t="shared" ref="Q5:Q68" si="11">-LN(M5)</f>
        <v>1.2376414955157372E-2</v>
      </c>
    </row>
    <row r="6" spans="2:17" x14ac:dyDescent="0.3">
      <c r="B6" s="5">
        <v>3</v>
      </c>
      <c r="C6" s="3">
        <v>2.7830000000000001E-2</v>
      </c>
      <c r="D6" s="3">
        <v>4.564E-2</v>
      </c>
      <c r="E6" s="3">
        <v>1.225E-2</v>
      </c>
      <c r="G6" s="29">
        <f t="shared" si="3"/>
        <v>0.92095016751412107</v>
      </c>
      <c r="H6">
        <f t="shared" si="4"/>
        <v>0.87468853636775745</v>
      </c>
      <c r="I6" s="30">
        <f t="shared" si="5"/>
        <v>0.96413232442525942</v>
      </c>
      <c r="K6" s="29">
        <f t="shared" si="6"/>
        <v>0.97770015060290461</v>
      </c>
      <c r="L6">
        <f t="shared" si="7"/>
        <v>0.96728530403030166</v>
      </c>
      <c r="M6" s="30">
        <f t="shared" si="8"/>
        <v>0.98471923408178297</v>
      </c>
      <c r="O6" s="29">
        <f t="shared" si="9"/>
        <v>2.2552250432572456E-2</v>
      </c>
      <c r="P6">
        <f t="shared" si="10"/>
        <v>3.3261786682435214E-2</v>
      </c>
      <c r="Q6" s="30">
        <f t="shared" si="11"/>
        <v>1.5398719983446803E-2</v>
      </c>
    </row>
    <row r="7" spans="2:17" x14ac:dyDescent="0.3">
      <c r="B7" s="5">
        <v>4</v>
      </c>
      <c r="C7" s="3">
        <v>2.6370000000000001E-2</v>
      </c>
      <c r="D7" s="3">
        <v>4.1930000000000002E-2</v>
      </c>
      <c r="E7" s="3">
        <v>1.319E-2</v>
      </c>
      <c r="G7" s="29">
        <f t="shared" si="3"/>
        <v>0.90112326459071324</v>
      </c>
      <c r="H7">
        <f t="shared" si="4"/>
        <v>0.84848824328325068</v>
      </c>
      <c r="I7" s="30">
        <f t="shared" si="5"/>
        <v>0.94893490355096188</v>
      </c>
      <c r="K7" s="29">
        <f t="shared" si="6"/>
        <v>0.97847125325257756</v>
      </c>
      <c r="L7">
        <f t="shared" si="7"/>
        <v>0.9700461455762226</v>
      </c>
      <c r="M7" s="30">
        <f t="shared" si="8"/>
        <v>0.98423720428276584</v>
      </c>
      <c r="O7" s="29">
        <f t="shared" si="9"/>
        <v>2.1763870960208674E-2</v>
      </c>
      <c r="P7">
        <f t="shared" si="10"/>
        <v>3.0411635857263992E-2</v>
      </c>
      <c r="Q7" s="30">
        <f t="shared" si="11"/>
        <v>1.588834971750791E-2</v>
      </c>
    </row>
    <row r="8" spans="2:17" x14ac:dyDescent="0.3">
      <c r="B8" s="6">
        <v>5</v>
      </c>
      <c r="C8" s="4">
        <v>2.5489999999999999E-2</v>
      </c>
      <c r="D8" s="4">
        <v>3.9510000000000003E-2</v>
      </c>
      <c r="E8" s="4">
        <v>1.376E-2</v>
      </c>
      <c r="G8" s="29">
        <f t="shared" si="3"/>
        <v>0.88174468672828554</v>
      </c>
      <c r="H8">
        <f t="shared" si="4"/>
        <v>0.82386611720300695</v>
      </c>
      <c r="I8" s="30">
        <f t="shared" si="5"/>
        <v>0.93395132766480615</v>
      </c>
      <c r="K8" s="29">
        <f t="shared" si="6"/>
        <v>0.97849508649493211</v>
      </c>
      <c r="L8">
        <f t="shared" si="7"/>
        <v>0.97098118179579285</v>
      </c>
      <c r="M8" s="30">
        <f t="shared" si="8"/>
        <v>0.98421011195806329</v>
      </c>
      <c r="O8" s="29">
        <f t="shared" si="9"/>
        <v>2.1739513625213522E-2</v>
      </c>
      <c r="P8">
        <f t="shared" si="10"/>
        <v>2.9448191109514594E-2</v>
      </c>
      <c r="Q8" s="30">
        <f t="shared" si="11"/>
        <v>1.5915876311164475E-2</v>
      </c>
    </row>
    <row r="9" spans="2:17" x14ac:dyDescent="0.3">
      <c r="B9" s="5">
        <v>6</v>
      </c>
      <c r="C9" s="3">
        <v>2.5020000000000001E-2</v>
      </c>
      <c r="D9" s="3">
        <v>3.8030000000000001E-2</v>
      </c>
      <c r="E9" s="3">
        <v>1.451E-2</v>
      </c>
      <c r="G9" s="29">
        <f t="shared" si="3"/>
        <v>0.86219592102620646</v>
      </c>
      <c r="H9">
        <f t="shared" si="4"/>
        <v>0.79935660682316689</v>
      </c>
      <c r="I9" s="30">
        <f t="shared" si="5"/>
        <v>0.91719569297904224</v>
      </c>
      <c r="K9" s="29">
        <f t="shared" si="6"/>
        <v>0.97782944882308864</v>
      </c>
      <c r="L9">
        <f t="shared" si="7"/>
        <v>0.97025061491416964</v>
      </c>
      <c r="M9" s="30">
        <f t="shared" si="8"/>
        <v>0.98205941338757052</v>
      </c>
      <c r="O9" s="29">
        <f t="shared" si="9"/>
        <v>2.2420011861077133E-2</v>
      </c>
      <c r="P9">
        <f t="shared" si="10"/>
        <v>3.020087496453102E-2</v>
      </c>
      <c r="Q9" s="30">
        <f t="shared" si="11"/>
        <v>1.8103470026534896E-2</v>
      </c>
    </row>
    <row r="10" spans="2:17" x14ac:dyDescent="0.3">
      <c r="B10" s="5">
        <v>7</v>
      </c>
      <c r="C10" s="3">
        <v>2.477E-2</v>
      </c>
      <c r="D10" s="3">
        <v>3.6909999999999998E-2</v>
      </c>
      <c r="E10" s="3">
        <v>1.511E-2</v>
      </c>
      <c r="G10" s="29">
        <f t="shared" si="3"/>
        <v>0.84258782390013232</v>
      </c>
      <c r="H10">
        <f t="shared" si="4"/>
        <v>0.77591216342362279</v>
      </c>
      <c r="I10" s="30">
        <f t="shared" si="5"/>
        <v>0.90034354930821414</v>
      </c>
      <c r="K10" s="29">
        <f t="shared" si="6"/>
        <v>0.97725795651789205</v>
      </c>
      <c r="L10">
        <f t="shared" si="7"/>
        <v>0.97067085803829423</v>
      </c>
      <c r="M10" s="30">
        <f t="shared" si="8"/>
        <v>0.98162644700599011</v>
      </c>
      <c r="O10" s="29">
        <f t="shared" si="9"/>
        <v>2.3004632599681957E-2</v>
      </c>
      <c r="P10">
        <f t="shared" si="10"/>
        <v>2.9767840309035874E-2</v>
      </c>
      <c r="Q10" s="30">
        <f t="shared" si="11"/>
        <v>1.8544443195746149E-2</v>
      </c>
    </row>
    <row r="11" spans="2:17" x14ac:dyDescent="0.3">
      <c r="B11" s="5">
        <v>8</v>
      </c>
      <c r="C11" s="3">
        <v>2.4660000000000001E-2</v>
      </c>
      <c r="D11" s="3">
        <v>3.6249999999999998E-2</v>
      </c>
      <c r="E11" s="3">
        <v>1.5779999999999999E-2</v>
      </c>
      <c r="G11" s="29">
        <f t="shared" si="3"/>
        <v>0.82292780659029441</v>
      </c>
      <c r="H11">
        <f t="shared" si="4"/>
        <v>0.75211396317510737</v>
      </c>
      <c r="I11" s="30">
        <f t="shared" si="5"/>
        <v>0.8822724925609482</v>
      </c>
      <c r="K11" s="29">
        <f t="shared" si="6"/>
        <v>0.97666710015006331</v>
      </c>
      <c r="L11">
        <f t="shared" si="7"/>
        <v>0.96932874445026274</v>
      </c>
      <c r="M11" s="30">
        <f t="shared" si="8"/>
        <v>0.97992870970070145</v>
      </c>
      <c r="O11" s="29">
        <f t="shared" si="9"/>
        <v>2.360942179957699E-2</v>
      </c>
      <c r="P11">
        <f t="shared" si="10"/>
        <v>3.1151463068981866E-2</v>
      </c>
      <c r="Q11" s="30">
        <f t="shared" si="11"/>
        <v>2.0275455166945948E-2</v>
      </c>
    </row>
    <row r="12" spans="2:17" x14ac:dyDescent="0.3">
      <c r="B12" s="5">
        <v>9</v>
      </c>
      <c r="C12" s="3">
        <v>2.4639999999999999E-2</v>
      </c>
      <c r="D12" s="3">
        <v>3.5479999999999998E-2</v>
      </c>
      <c r="E12" s="3">
        <v>1.651E-2</v>
      </c>
      <c r="G12" s="29">
        <f t="shared" si="3"/>
        <v>0.80326389514893892</v>
      </c>
      <c r="H12">
        <f t="shared" si="4"/>
        <v>0.73067553237231886</v>
      </c>
      <c r="I12" s="30">
        <f t="shared" si="5"/>
        <v>0.8629688138604944</v>
      </c>
      <c r="K12" s="29">
        <f t="shared" si="6"/>
        <v>0.97610493741506854</v>
      </c>
      <c r="L12">
        <f t="shared" si="7"/>
        <v>0.9714957681249734</v>
      </c>
      <c r="M12" s="30">
        <f t="shared" si="8"/>
        <v>0.97812050260750905</v>
      </c>
      <c r="O12" s="29">
        <f t="shared" si="9"/>
        <v>2.4185180505365677E-2</v>
      </c>
      <c r="P12">
        <f t="shared" si="10"/>
        <v>2.8918366195773201E-2</v>
      </c>
      <c r="Q12" s="30">
        <f t="shared" si="11"/>
        <v>2.2122403237343418E-2</v>
      </c>
    </row>
    <row r="13" spans="2:17" x14ac:dyDescent="0.3">
      <c r="B13" s="6">
        <v>10</v>
      </c>
      <c r="C13" s="4">
        <v>2.47E-2</v>
      </c>
      <c r="D13" s="4">
        <v>3.5069999999999997E-2</v>
      </c>
      <c r="E13" s="4">
        <v>1.704E-2</v>
      </c>
      <c r="G13" s="29">
        <f t="shared" si="3"/>
        <v>0.78348852098697186</v>
      </c>
      <c r="H13">
        <f t="shared" si="4"/>
        <v>0.7084395300125218</v>
      </c>
      <c r="I13" s="30">
        <f t="shared" si="5"/>
        <v>0.84453890374874796</v>
      </c>
      <c r="K13" s="29">
        <f t="shared" si="6"/>
        <v>0.97538122367830271</v>
      </c>
      <c r="L13">
        <f t="shared" si="7"/>
        <v>0.96956788427333485</v>
      </c>
      <c r="M13" s="30">
        <f t="shared" si="8"/>
        <v>0.97864359659846789</v>
      </c>
      <c r="O13" s="29">
        <f t="shared" si="9"/>
        <v>2.4926885759927363E-2</v>
      </c>
      <c r="P13">
        <f t="shared" si="10"/>
        <v>3.090478687104329E-2</v>
      </c>
      <c r="Q13" s="30">
        <f t="shared" si="11"/>
        <v>2.158775115165586E-2</v>
      </c>
    </row>
    <row r="14" spans="2:17" x14ac:dyDescent="0.3">
      <c r="B14" s="5">
        <v>11</v>
      </c>
      <c r="C14" s="3">
        <v>2.487E-2</v>
      </c>
      <c r="D14" s="3">
        <v>3.4869999999999998E-2</v>
      </c>
      <c r="E14" s="3">
        <v>1.7409999999999998E-2</v>
      </c>
      <c r="G14" s="29">
        <f t="shared" si="3"/>
        <v>0.76320887666583526</v>
      </c>
      <c r="H14">
        <f t="shared" si="4"/>
        <v>0.68589277742554322</v>
      </c>
      <c r="I14" s="30">
        <f t="shared" si="5"/>
        <v>0.82707325748529792</v>
      </c>
      <c r="K14" s="29">
        <f t="shared" si="6"/>
        <v>0.97411622024073807</v>
      </c>
      <c r="L14">
        <f t="shared" si="7"/>
        <v>0.96817406196040467</v>
      </c>
      <c r="M14" s="30">
        <f t="shared" si="8"/>
        <v>0.97931931118161242</v>
      </c>
      <c r="O14" s="29">
        <f t="shared" si="9"/>
        <v>2.6224659828886079E-2</v>
      </c>
      <c r="P14">
        <f t="shared" si="10"/>
        <v>3.2343391795734408E-2</v>
      </c>
      <c r="Q14" s="30">
        <f t="shared" si="11"/>
        <v>2.0897529077186758E-2</v>
      </c>
    </row>
    <row r="15" spans="2:17" x14ac:dyDescent="0.3">
      <c r="B15" s="5">
        <v>12</v>
      </c>
      <c r="C15" s="3">
        <v>2.487E-2</v>
      </c>
      <c r="D15" s="3">
        <v>3.4869999999999998E-2</v>
      </c>
      <c r="E15" s="3">
        <v>1.7659999999999999E-2</v>
      </c>
      <c r="G15" s="29">
        <f t="shared" si="3"/>
        <v>0.74468847430975171</v>
      </c>
      <c r="H15">
        <f t="shared" si="4"/>
        <v>0.66278158360522899</v>
      </c>
      <c r="I15" s="30">
        <f t="shared" si="5"/>
        <v>0.81052711026035729</v>
      </c>
      <c r="K15" s="34">
        <f t="shared" si="6"/>
        <v>0.97573350766438671</v>
      </c>
      <c r="L15" s="36">
        <f t="shared" si="7"/>
        <v>0.9663049465150213</v>
      </c>
      <c r="M15" s="30">
        <f t="shared" si="8"/>
        <v>0.97999433898364829</v>
      </c>
      <c r="O15" s="37">
        <f t="shared" si="9"/>
        <v>2.4565775278567053E-2</v>
      </c>
      <c r="P15" s="38">
        <f t="shared" si="10"/>
        <v>3.4275814963772001E-2</v>
      </c>
      <c r="Q15" s="30">
        <f t="shared" si="11"/>
        <v>2.020848388150142E-2</v>
      </c>
    </row>
    <row r="16" spans="2:17" x14ac:dyDescent="0.3">
      <c r="B16" s="5">
        <v>13</v>
      </c>
      <c r="C16" s="3">
        <v>2.4920000000000001E-2</v>
      </c>
      <c r="D16" s="3">
        <v>3.492E-2</v>
      </c>
      <c r="E16" s="3">
        <v>1.7940000000000001E-2</v>
      </c>
      <c r="G16" s="29">
        <f t="shared" si="3"/>
        <v>0.72615681422166556</v>
      </c>
      <c r="H16">
        <f t="shared" si="4"/>
        <v>0.64004699376173069</v>
      </c>
      <c r="I16" s="30">
        <f t="shared" si="5"/>
        <v>0.7936182674341915</v>
      </c>
      <c r="K16" s="29">
        <f t="shared" si="6"/>
        <v>0.97511488262892332</v>
      </c>
      <c r="L16">
        <f t="shared" si="7"/>
        <v>0.96569821732246619</v>
      </c>
      <c r="M16" s="30">
        <f t="shared" si="8"/>
        <v>0.97913846111731617</v>
      </c>
      <c r="O16" s="29">
        <f t="shared" si="9"/>
        <v>2.5199986588145925E-2</v>
      </c>
      <c r="P16">
        <f t="shared" si="10"/>
        <v>3.4903898006136809E-2</v>
      </c>
      <c r="Q16" s="30">
        <f t="shared" si="11"/>
        <v>2.1082215280145328E-2</v>
      </c>
    </row>
    <row r="17" spans="2:17" x14ac:dyDescent="0.3">
      <c r="B17" s="5">
        <v>14</v>
      </c>
      <c r="C17" s="3">
        <v>2.4989999999999998E-2</v>
      </c>
      <c r="D17" s="3">
        <v>3.499E-2</v>
      </c>
      <c r="E17" s="3">
        <v>1.7989999999999999E-2</v>
      </c>
      <c r="G17" s="29">
        <f t="shared" si="3"/>
        <v>0.70782386801134656</v>
      </c>
      <c r="H17">
        <f t="shared" si="4"/>
        <v>0.61786536101900291</v>
      </c>
      <c r="I17" s="30">
        <f t="shared" si="5"/>
        <v>0.77909574852687735</v>
      </c>
      <c r="K17" s="29">
        <f t="shared" si="6"/>
        <v>0.97475346116531425</v>
      </c>
      <c r="L17">
        <f t="shared" si="7"/>
        <v>0.96534374357051456</v>
      </c>
      <c r="M17" s="30">
        <f t="shared" si="8"/>
        <v>0.98170087622319202</v>
      </c>
      <c r="O17" s="29">
        <f t="shared" si="9"/>
        <v>2.5570700302124091E-2</v>
      </c>
      <c r="P17">
        <f t="shared" si="10"/>
        <v>3.5271030117309803E-2</v>
      </c>
      <c r="Q17" s="30">
        <f t="shared" si="11"/>
        <v>1.8468623727074824E-2</v>
      </c>
    </row>
    <row r="18" spans="2:17" x14ac:dyDescent="0.3">
      <c r="B18" s="6">
        <v>15</v>
      </c>
      <c r="C18" s="4">
        <v>2.4979999999999999E-2</v>
      </c>
      <c r="D18" s="4">
        <v>3.4979999999999997E-2</v>
      </c>
      <c r="E18" s="4">
        <v>1.8239999999999999E-2</v>
      </c>
      <c r="G18" s="29">
        <f t="shared" si="3"/>
        <v>0.6906676758678868</v>
      </c>
      <c r="H18">
        <f t="shared" si="4"/>
        <v>0.59706365714702947</v>
      </c>
      <c r="I18" s="30">
        <f t="shared" si="5"/>
        <v>0.76251377818847088</v>
      </c>
      <c r="K18" s="29">
        <f t="shared" si="6"/>
        <v>0.97576206042378788</v>
      </c>
      <c r="L18">
        <f t="shared" si="7"/>
        <v>0.9663329502115694</v>
      </c>
      <c r="M18" s="30">
        <f t="shared" si="8"/>
        <v>0.97871638964817886</v>
      </c>
      <c r="O18" s="29">
        <f t="shared" si="9"/>
        <v>2.4536512840188901E-2</v>
      </c>
      <c r="P18">
        <f t="shared" si="10"/>
        <v>3.4246835198242731E-2</v>
      </c>
      <c r="Q18" s="30">
        <f t="shared" si="11"/>
        <v>2.1513372345247216E-2</v>
      </c>
    </row>
    <row r="19" spans="2:17" x14ac:dyDescent="0.3">
      <c r="B19" s="5">
        <v>16</v>
      </c>
      <c r="C19" s="3">
        <v>2.486E-2</v>
      </c>
      <c r="D19" s="3">
        <v>3.4860000000000002E-2</v>
      </c>
      <c r="E19" s="3">
        <v>1.7899999999999999E-2</v>
      </c>
      <c r="G19" s="29">
        <f t="shared" si="3"/>
        <v>0.67509876092267374</v>
      </c>
      <c r="H19">
        <f t="shared" si="4"/>
        <v>0.57795548440160449</v>
      </c>
      <c r="I19" s="30">
        <f t="shared" si="5"/>
        <v>0.7528668418905029</v>
      </c>
      <c r="K19" s="29">
        <f t="shared" si="6"/>
        <v>0.97745816766992999</v>
      </c>
      <c r="L19">
        <f t="shared" si="7"/>
        <v>0.96799642296647193</v>
      </c>
      <c r="M19" s="30">
        <f t="shared" si="8"/>
        <v>0.9873485088743098</v>
      </c>
      <c r="O19" s="29">
        <f t="shared" si="9"/>
        <v>2.2799783260935895E-2</v>
      </c>
      <c r="P19">
        <f t="shared" si="10"/>
        <v>3.2526886994957933E-2</v>
      </c>
      <c r="Q19" s="30">
        <f t="shared" si="11"/>
        <v>1.2732202710059825E-2</v>
      </c>
    </row>
    <row r="20" spans="2:17" x14ac:dyDescent="0.3">
      <c r="B20" s="5">
        <v>17</v>
      </c>
      <c r="C20" s="3">
        <v>2.4660000000000001E-2</v>
      </c>
      <c r="D20" s="3">
        <v>3.4660000000000003E-2</v>
      </c>
      <c r="E20" s="3">
        <v>1.7760000000000001E-2</v>
      </c>
      <c r="G20" s="29">
        <f t="shared" si="3"/>
        <v>0.66091208289531467</v>
      </c>
      <c r="H20">
        <f t="shared" si="4"/>
        <v>0.56032472588283622</v>
      </c>
      <c r="I20" s="30">
        <f t="shared" si="5"/>
        <v>0.74135900997489912</v>
      </c>
      <c r="K20" s="29">
        <f t="shared" si="6"/>
        <v>0.97898577386222752</v>
      </c>
      <c r="L20">
        <f t="shared" si="7"/>
        <v>0.96949460815823463</v>
      </c>
      <c r="M20" s="30">
        <f t="shared" si="8"/>
        <v>0.98471465168168815</v>
      </c>
      <c r="O20" s="29">
        <f t="shared" si="9"/>
        <v>2.1238167852173747E-2</v>
      </c>
      <c r="P20">
        <f t="shared" si="10"/>
        <v>3.0980365781388991E-2</v>
      </c>
      <c r="Q20" s="30">
        <f t="shared" si="11"/>
        <v>1.5403373503555251E-2</v>
      </c>
    </row>
    <row r="21" spans="2:17" x14ac:dyDescent="0.3">
      <c r="B21" s="5">
        <v>18</v>
      </c>
      <c r="C21" s="3">
        <v>2.4459999999999999E-2</v>
      </c>
      <c r="D21" s="3">
        <v>3.4459999999999998E-2</v>
      </c>
      <c r="E21" s="3">
        <v>1.7610000000000001E-2</v>
      </c>
      <c r="G21" s="29">
        <f t="shared" si="3"/>
        <v>0.64727657622441381</v>
      </c>
      <c r="H21">
        <f t="shared" si="4"/>
        <v>0.54344220000874166</v>
      </c>
      <c r="I21" s="30">
        <f t="shared" si="5"/>
        <v>0.73035735969736371</v>
      </c>
      <c r="K21" s="29">
        <f t="shared" si="6"/>
        <v>0.97936865276971996</v>
      </c>
      <c r="L21">
        <f t="shared" si="7"/>
        <v>0.96987010371977644</v>
      </c>
      <c r="M21" s="30">
        <f t="shared" si="8"/>
        <v>0.98516015839895454</v>
      </c>
      <c r="O21" s="29">
        <f t="shared" si="9"/>
        <v>2.0847146791671056E-2</v>
      </c>
      <c r="P21">
        <f t="shared" si="10"/>
        <v>3.0593130142899543E-2</v>
      </c>
      <c r="Q21" s="30">
        <f t="shared" si="11"/>
        <v>1.4951053668221352E-2</v>
      </c>
    </row>
    <row r="22" spans="2:17" x14ac:dyDescent="0.3">
      <c r="B22" s="5">
        <v>19</v>
      </c>
      <c r="C22" s="3">
        <v>2.427E-2</v>
      </c>
      <c r="D22" s="3">
        <v>3.4270000000000002E-2</v>
      </c>
      <c r="E22" s="3">
        <v>1.7229999999999999E-2</v>
      </c>
      <c r="G22" s="29">
        <f t="shared" si="3"/>
        <v>0.63405275958074025</v>
      </c>
      <c r="H22">
        <f t="shared" si="4"/>
        <v>0.52717568742308507</v>
      </c>
      <c r="I22" s="30">
        <f t="shared" si="5"/>
        <v>0.72282965709172209</v>
      </c>
      <c r="K22" s="29">
        <f t="shared" si="6"/>
        <v>0.97957006768140986</v>
      </c>
      <c r="L22">
        <f t="shared" si="7"/>
        <v>0.97006763077031022</v>
      </c>
      <c r="M22" s="30">
        <f t="shared" si="8"/>
        <v>0.98969312418682154</v>
      </c>
      <c r="O22" s="29">
        <f t="shared" si="9"/>
        <v>2.0641510024888197E-2</v>
      </c>
      <c r="P22">
        <f t="shared" si="10"/>
        <v>3.0389487471586363E-2</v>
      </c>
      <c r="Q22" s="30">
        <f t="shared" si="11"/>
        <v>1.0360359474725515E-2</v>
      </c>
    </row>
    <row r="23" spans="2:17" x14ac:dyDescent="0.3">
      <c r="B23" s="6">
        <v>20</v>
      </c>
      <c r="C23" s="4">
        <v>2.4150000000000001E-2</v>
      </c>
      <c r="D23" s="4">
        <v>3.415E-2</v>
      </c>
      <c r="E23" s="4">
        <v>1.7149999999999999E-2</v>
      </c>
      <c r="G23" s="29">
        <f t="shared" si="3"/>
        <v>0.62048117992903407</v>
      </c>
      <c r="H23">
        <f t="shared" si="4"/>
        <v>0.51089220238770217</v>
      </c>
      <c r="I23" s="30">
        <f t="shared" si="5"/>
        <v>0.71170485976071529</v>
      </c>
      <c r="K23" s="29">
        <f t="shared" si="6"/>
        <v>0.97859550416485808</v>
      </c>
      <c r="L23">
        <f t="shared" si="7"/>
        <v>0.96911184369108705</v>
      </c>
      <c r="M23" s="30">
        <f t="shared" si="8"/>
        <v>0.98460937895690803</v>
      </c>
      <c r="O23" s="29">
        <f t="shared" si="9"/>
        <v>2.1636894287617878E-2</v>
      </c>
      <c r="P23">
        <f t="shared" si="10"/>
        <v>3.1375251986122614E-2</v>
      </c>
      <c r="Q23" s="30">
        <f t="shared" si="11"/>
        <v>1.5510286051457541E-2</v>
      </c>
    </row>
    <row r="24" spans="2:17" x14ac:dyDescent="0.3">
      <c r="B24" s="5">
        <v>21</v>
      </c>
      <c r="C24" s="3">
        <v>2.409E-2</v>
      </c>
      <c r="D24" s="3">
        <v>3.4090000000000002E-2</v>
      </c>
      <c r="E24" s="3">
        <v>1.7129999999999999E-2</v>
      </c>
      <c r="G24" s="29">
        <f t="shared" si="3"/>
        <v>0.60659575547952316</v>
      </c>
      <c r="H24">
        <f t="shared" si="4"/>
        <v>0.49462366847703498</v>
      </c>
      <c r="I24" s="30">
        <f t="shared" si="5"/>
        <v>0.69999390394680183</v>
      </c>
      <c r="K24" s="29">
        <f t="shared" si="6"/>
        <v>0.9776215219757366</v>
      </c>
      <c r="L24">
        <f t="shared" si="7"/>
        <v>0.96815662123118207</v>
      </c>
      <c r="M24" s="30">
        <f t="shared" si="8"/>
        <v>0.98354520746443852</v>
      </c>
      <c r="O24" s="29">
        <f t="shared" si="9"/>
        <v>2.2632675692838403E-2</v>
      </c>
      <c r="P24">
        <f t="shared" si="10"/>
        <v>3.2361406001029477E-2</v>
      </c>
      <c r="Q24" s="30">
        <f t="shared" si="11"/>
        <v>1.6591676307604459E-2</v>
      </c>
    </row>
    <row r="25" spans="2:17" x14ac:dyDescent="0.3">
      <c r="B25" s="5">
        <v>22</v>
      </c>
      <c r="C25" s="3">
        <v>2.409E-2</v>
      </c>
      <c r="D25" s="3">
        <v>3.4090000000000002E-2</v>
      </c>
      <c r="E25" s="3">
        <v>1.7170000000000001E-2</v>
      </c>
      <c r="G25" s="29">
        <f t="shared" si="3"/>
        <v>0.59232660750473398</v>
      </c>
      <c r="H25">
        <f t="shared" si="4"/>
        <v>0.47831781419125513</v>
      </c>
      <c r="I25" s="30">
        <f t="shared" si="5"/>
        <v>0.68760980149587247</v>
      </c>
      <c r="K25" s="34">
        <f t="shared" si="6"/>
        <v>0.97647667685457307</v>
      </c>
      <c r="L25" s="36">
        <f t="shared" si="7"/>
        <v>0.96703381717258663</v>
      </c>
      <c r="M25" s="30">
        <f t="shared" si="8"/>
        <v>0.9823082709990707</v>
      </c>
      <c r="O25" s="35">
        <f t="shared" si="9"/>
        <v>2.3804413380161624E-2</v>
      </c>
      <c r="P25" s="39">
        <f t="shared" si="10"/>
        <v>3.3521812917377915E-2</v>
      </c>
      <c r="Q25" s="30">
        <f t="shared" si="11"/>
        <v>1.7850098303094832E-2</v>
      </c>
    </row>
    <row r="26" spans="2:17" x14ac:dyDescent="0.3">
      <c r="B26" s="5">
        <v>23</v>
      </c>
      <c r="C26" s="3">
        <v>2.4129999999999999E-2</v>
      </c>
      <c r="D26" s="3">
        <v>3.4130000000000001E-2</v>
      </c>
      <c r="E26" s="3">
        <v>1.7229999999999999E-2</v>
      </c>
      <c r="G26" s="29">
        <f t="shared" si="3"/>
        <v>0.57787375637469385</v>
      </c>
      <c r="H26">
        <f t="shared" si="4"/>
        <v>0.46213817570441679</v>
      </c>
      <c r="I26" s="30">
        <f t="shared" si="5"/>
        <v>0.67508634505585241</v>
      </c>
      <c r="K26" s="29">
        <f t="shared" si="6"/>
        <v>0.97559986171999769</v>
      </c>
      <c r="L26">
        <f t="shared" si="7"/>
        <v>0.9661738743429511</v>
      </c>
      <c r="M26" s="30">
        <f t="shared" si="8"/>
        <v>0.98178697218571387</v>
      </c>
      <c r="O26" s="29">
        <f t="shared" si="9"/>
        <v>2.4702754378801636E-2</v>
      </c>
      <c r="P26">
        <f t="shared" si="10"/>
        <v>3.44114668227797E-2</v>
      </c>
      <c r="Q26" s="30">
        <f t="shared" si="11"/>
        <v>1.8380926762057402E-2</v>
      </c>
    </row>
    <row r="27" spans="2:17" x14ac:dyDescent="0.3">
      <c r="B27" s="5">
        <v>24</v>
      </c>
      <c r="C27" s="3">
        <v>2.4209999999999999E-2</v>
      </c>
      <c r="D27" s="3">
        <v>3.4209999999999997E-2</v>
      </c>
      <c r="E27" s="3">
        <v>1.7309999999999999E-2</v>
      </c>
      <c r="G27" s="29">
        <f t="shared" si="3"/>
        <v>0.56320138825489208</v>
      </c>
      <c r="H27">
        <f t="shared" si="4"/>
        <v>0.44605705647492638</v>
      </c>
      <c r="I27" s="30">
        <f t="shared" si="5"/>
        <v>0.66240022974749146</v>
      </c>
      <c r="K27" s="29">
        <f t="shared" si="6"/>
        <v>0.9746097344654493</v>
      </c>
      <c r="L27">
        <f t="shared" si="7"/>
        <v>0.96520278982583796</v>
      </c>
      <c r="M27" s="30">
        <f t="shared" si="8"/>
        <v>0.98120815892475</v>
      </c>
      <c r="O27" s="29">
        <f t="shared" si="9"/>
        <v>2.5718160457776498E-2</v>
      </c>
      <c r="P27">
        <f t="shared" si="10"/>
        <v>3.5417054823255731E-2</v>
      </c>
      <c r="Q27" s="30">
        <f t="shared" si="11"/>
        <v>1.8970651380896549E-2</v>
      </c>
    </row>
    <row r="28" spans="2:17" x14ac:dyDescent="0.3">
      <c r="B28" s="6">
        <v>25</v>
      </c>
      <c r="C28" s="4">
        <v>2.4309999999999998E-2</v>
      </c>
      <c r="D28" s="4">
        <v>3.431E-2</v>
      </c>
      <c r="E28" s="4">
        <v>1.7420000000000001E-2</v>
      </c>
      <c r="G28" s="29">
        <f t="shared" si="3"/>
        <v>0.54854806158178537</v>
      </c>
      <c r="H28">
        <f t="shared" si="4"/>
        <v>0.43026092876836247</v>
      </c>
      <c r="I28" s="30">
        <f t="shared" si="5"/>
        <v>0.64937151806369919</v>
      </c>
      <c r="K28" s="29">
        <f t="shared" si="6"/>
        <v>0.97398208353407867</v>
      </c>
      <c r="L28">
        <f t="shared" si="7"/>
        <v>0.96458720363848383</v>
      </c>
      <c r="M28" s="30">
        <f t="shared" si="8"/>
        <v>0.98033105802400033</v>
      </c>
      <c r="O28" s="29">
        <f t="shared" si="9"/>
        <v>2.6362370237659055E-2</v>
      </c>
      <c r="P28">
        <f t="shared" si="10"/>
        <v>3.6055037412365119E-2</v>
      </c>
      <c r="Q28" s="30">
        <f t="shared" si="11"/>
        <v>1.9864950053722082E-2</v>
      </c>
    </row>
    <row r="29" spans="2:17" x14ac:dyDescent="0.3">
      <c r="B29" s="5">
        <v>26</v>
      </c>
      <c r="C29" s="3">
        <v>2.443E-2</v>
      </c>
      <c r="D29" s="3">
        <v>3.4430000000000002E-2</v>
      </c>
      <c r="E29" s="3">
        <v>1.753E-2</v>
      </c>
      <c r="G29" s="29">
        <f t="shared" si="3"/>
        <v>0.53390072310461278</v>
      </c>
      <c r="H29">
        <f t="shared" si="4"/>
        <v>0.41473550065898657</v>
      </c>
      <c r="I29" s="30">
        <f t="shared" si="5"/>
        <v>0.63646161436376514</v>
      </c>
      <c r="K29" s="29">
        <f t="shared" si="6"/>
        <v>0.97329798516663113</v>
      </c>
      <c r="L29">
        <f t="shared" si="7"/>
        <v>0.96391624925410258</v>
      </c>
      <c r="M29" s="30">
        <f t="shared" si="8"/>
        <v>0.98011938722161873</v>
      </c>
      <c r="O29" s="29">
        <f t="shared" si="9"/>
        <v>2.7064989657008896E-2</v>
      </c>
      <c r="P29">
        <f t="shared" si="10"/>
        <v>3.6750866512848882E-2</v>
      </c>
      <c r="Q29" s="30">
        <f t="shared" si="11"/>
        <v>2.0080891041893919E-2</v>
      </c>
    </row>
    <row r="30" spans="2:17" x14ac:dyDescent="0.3">
      <c r="B30" s="5">
        <v>27</v>
      </c>
      <c r="C30" s="3">
        <v>2.4570000000000002E-2</v>
      </c>
      <c r="D30" s="3">
        <v>3.4569999999999997E-2</v>
      </c>
      <c r="E30" s="3">
        <v>1.7670000000000002E-2</v>
      </c>
      <c r="G30" s="29">
        <f t="shared" si="3"/>
        <v>0.51924921182601969</v>
      </c>
      <c r="H30">
        <f t="shared" si="4"/>
        <v>0.39946912565201997</v>
      </c>
      <c r="I30" s="30">
        <f t="shared" si="5"/>
        <v>0.62317748399322548</v>
      </c>
      <c r="K30" s="29">
        <f t="shared" si="6"/>
        <v>0.9725576110978178</v>
      </c>
      <c r="L30">
        <f t="shared" si="7"/>
        <v>0.96319009348679008</v>
      </c>
      <c r="M30" s="30">
        <f t="shared" si="8"/>
        <v>0.97912815153225063</v>
      </c>
      <c r="O30" s="29">
        <f t="shared" si="9"/>
        <v>2.7825965040755629E-2</v>
      </c>
      <c r="P30">
        <f t="shared" si="10"/>
        <v>3.7504489481727597E-2</v>
      </c>
      <c r="Q30" s="30">
        <f t="shared" si="11"/>
        <v>2.1092744576819273E-2</v>
      </c>
    </row>
    <row r="31" spans="2:17" x14ac:dyDescent="0.3">
      <c r="B31" s="5">
        <v>28</v>
      </c>
      <c r="C31" s="3">
        <v>2.4719999999999999E-2</v>
      </c>
      <c r="D31" s="3">
        <v>3.4720000000000001E-2</v>
      </c>
      <c r="E31" s="3">
        <v>1.7809999999999999E-2</v>
      </c>
      <c r="G31" s="29">
        <f t="shared" si="3"/>
        <v>0.50472410428806358</v>
      </c>
      <c r="H31">
        <f t="shared" si="4"/>
        <v>0.38455669716076785</v>
      </c>
      <c r="I31" s="30">
        <f t="shared" si="5"/>
        <v>0.61000307146135713</v>
      </c>
      <c r="K31" s="29">
        <f t="shared" si="6"/>
        <v>0.9720267124010139</v>
      </c>
      <c r="L31">
        <f t="shared" si="7"/>
        <v>0.9626693841059385</v>
      </c>
      <c r="M31" s="30">
        <f t="shared" si="8"/>
        <v>0.97885929310627728</v>
      </c>
      <c r="O31" s="29">
        <f t="shared" si="9"/>
        <v>2.837199300527108E-2</v>
      </c>
      <c r="P31">
        <f t="shared" si="10"/>
        <v>3.80452448167857E-2</v>
      </c>
      <c r="Q31" s="30">
        <f t="shared" si="11"/>
        <v>2.1367371902341031E-2</v>
      </c>
    </row>
    <row r="32" spans="2:17" x14ac:dyDescent="0.3">
      <c r="B32" s="5">
        <v>29</v>
      </c>
      <c r="C32" s="3">
        <v>2.487E-2</v>
      </c>
      <c r="D32" s="3">
        <v>3.4869999999999998E-2</v>
      </c>
      <c r="E32" s="3">
        <v>1.7950000000000001E-2</v>
      </c>
      <c r="G32" s="29">
        <f t="shared" si="3"/>
        <v>0.49046199601095725</v>
      </c>
      <c r="H32">
        <f t="shared" si="4"/>
        <v>0.37009385847855797</v>
      </c>
      <c r="I32" s="30">
        <f t="shared" si="5"/>
        <v>0.59694324969343282</v>
      </c>
      <c r="K32" s="29">
        <f t="shared" si="6"/>
        <v>0.97174276370805845</v>
      </c>
      <c r="L32">
        <f t="shared" si="7"/>
        <v>0.96239088074920842</v>
      </c>
      <c r="M32" s="30">
        <f t="shared" si="8"/>
        <v>0.97859056391857591</v>
      </c>
      <c r="O32" s="29">
        <f t="shared" si="9"/>
        <v>2.8664155937620079E-2</v>
      </c>
      <c r="P32">
        <f t="shared" si="10"/>
        <v>3.833458989730875E-2</v>
      </c>
      <c r="Q32" s="30">
        <f t="shared" si="11"/>
        <v>2.164194260301593E-2</v>
      </c>
    </row>
    <row r="33" spans="2:17" x14ac:dyDescent="0.3">
      <c r="B33" s="6">
        <v>30</v>
      </c>
      <c r="C33" s="4">
        <v>2.5020000000000001E-2</v>
      </c>
      <c r="D33" s="4">
        <v>3.5020000000000003E-2</v>
      </c>
      <c r="E33" s="4">
        <v>1.8089999999999998E-2</v>
      </c>
      <c r="G33" s="29">
        <f t="shared" si="3"/>
        <v>0.47646370067584165</v>
      </c>
      <c r="H33">
        <f t="shared" si="4"/>
        <v>0.35607193424219302</v>
      </c>
      <c r="I33" s="30">
        <f t="shared" si="5"/>
        <v>0.58400269236672853</v>
      </c>
      <c r="K33" s="29">
        <f t="shared" si="6"/>
        <v>0.97145896022736311</v>
      </c>
      <c r="L33">
        <f t="shared" si="7"/>
        <v>0.96211251844597323</v>
      </c>
      <c r="M33" s="30">
        <f t="shared" si="8"/>
        <v>0.97832196388291504</v>
      </c>
      <c r="O33" s="29">
        <f t="shared" si="9"/>
        <v>2.8956254775550774E-2</v>
      </c>
      <c r="P33">
        <f t="shared" si="10"/>
        <v>3.8623872114521576E-2</v>
      </c>
      <c r="Q33" s="30">
        <f t="shared" si="11"/>
        <v>2.1916456699616248E-2</v>
      </c>
    </row>
    <row r="34" spans="2:17" x14ac:dyDescent="0.3">
      <c r="B34" s="5">
        <v>31</v>
      </c>
      <c r="C34" s="3">
        <v>2.5180000000000001E-2</v>
      </c>
      <c r="D34" s="3">
        <v>3.5180000000000003E-2</v>
      </c>
      <c r="E34" s="3">
        <v>1.823E-2</v>
      </c>
      <c r="G34" s="29">
        <f t="shared" si="3"/>
        <v>0.46258987582736705</v>
      </c>
      <c r="H34">
        <f t="shared" si="4"/>
        <v>0.3423796520753668</v>
      </c>
      <c r="I34" s="30">
        <f t="shared" si="5"/>
        <v>0.5711858731399696</v>
      </c>
      <c r="K34" s="29">
        <f t="shared" si="6"/>
        <v>0.97088167508081891</v>
      </c>
      <c r="L34">
        <f t="shared" si="7"/>
        <v>0.96154630328850066</v>
      </c>
      <c r="M34" s="30">
        <f t="shared" si="8"/>
        <v>0.9780534929131619</v>
      </c>
      <c r="O34" s="29">
        <f t="shared" si="9"/>
        <v>2.955067694131127E-2</v>
      </c>
      <c r="P34">
        <f t="shared" si="10"/>
        <v>3.9212557766495869E-2</v>
      </c>
      <c r="Q34" s="30">
        <f t="shared" si="11"/>
        <v>2.219091421287708E-2</v>
      </c>
    </row>
    <row r="35" spans="2:17" x14ac:dyDescent="0.3">
      <c r="B35" s="5">
        <v>32</v>
      </c>
      <c r="C35" s="3">
        <v>2.5340000000000001E-2</v>
      </c>
      <c r="D35" s="3">
        <v>3.5340000000000003E-2</v>
      </c>
      <c r="E35" s="3">
        <v>1.8380000000000001E-2</v>
      </c>
      <c r="G35" s="29">
        <f t="shared" si="3"/>
        <v>0.44898020595178956</v>
      </c>
      <c r="H35">
        <f t="shared" si="4"/>
        <v>0.32911237999639242</v>
      </c>
      <c r="I35" s="30">
        <f t="shared" si="5"/>
        <v>0.55832159839081175</v>
      </c>
      <c r="K35" s="29">
        <f t="shared" si="6"/>
        <v>0.97057940394558817</v>
      </c>
      <c r="L35">
        <f t="shared" si="7"/>
        <v>0.96124982311725138</v>
      </c>
      <c r="M35" s="30">
        <f t="shared" si="8"/>
        <v>0.97747795358026046</v>
      </c>
      <c r="O35" s="29">
        <f t="shared" si="9"/>
        <v>2.986206215622857E-2</v>
      </c>
      <c r="P35">
        <f t="shared" si="10"/>
        <v>3.9520942175562797E-2</v>
      </c>
      <c r="Q35" s="30">
        <f t="shared" si="11"/>
        <v>2.2779541259045324E-2</v>
      </c>
    </row>
    <row r="36" spans="2:17" x14ac:dyDescent="0.3">
      <c r="B36" s="5">
        <v>33</v>
      </c>
      <c r="C36" s="3">
        <v>2.5499999999999998E-2</v>
      </c>
      <c r="D36" s="3">
        <v>3.5499999999999997E-2</v>
      </c>
      <c r="E36" s="3">
        <v>1.8530000000000001E-2</v>
      </c>
      <c r="G36" s="29">
        <f t="shared" si="3"/>
        <v>0.43563530089638008</v>
      </c>
      <c r="H36">
        <f t="shared" si="4"/>
        <v>0.3162616944375104</v>
      </c>
      <c r="I36" s="30">
        <f t="shared" si="5"/>
        <v>0.54558668670354804</v>
      </c>
      <c r="K36" s="29">
        <f t="shared" si="6"/>
        <v>0.97027729757680581</v>
      </c>
      <c r="L36">
        <f t="shared" si="7"/>
        <v>0.96095350299790339</v>
      </c>
      <c r="M36" s="30">
        <f t="shared" si="8"/>
        <v>0.97719072354720271</v>
      </c>
      <c r="O36" s="29">
        <f t="shared" si="9"/>
        <v>3.0173374548313252E-2</v>
      </c>
      <c r="P36">
        <f t="shared" si="10"/>
        <v>3.9829255159594658E-2</v>
      </c>
      <c r="Q36" s="30">
        <f t="shared" si="11"/>
        <v>2.3073432534314792E-2</v>
      </c>
    </row>
    <row r="37" spans="2:17" x14ac:dyDescent="0.3">
      <c r="B37" s="5">
        <v>34</v>
      </c>
      <c r="C37" s="3">
        <v>2.5659999999999999E-2</v>
      </c>
      <c r="D37" s="3">
        <v>3.5659999999999997E-2</v>
      </c>
      <c r="E37" s="3">
        <v>1.8679999999999999E-2</v>
      </c>
      <c r="G37" s="29">
        <f t="shared" si="3"/>
        <v>0.42255550600771669</v>
      </c>
      <c r="H37">
        <f t="shared" si="4"/>
        <v>0.30381911901110625</v>
      </c>
      <c r="I37" s="30">
        <f t="shared" si="5"/>
        <v>0.53298562087793033</v>
      </c>
      <c r="K37" s="29">
        <f t="shared" si="6"/>
        <v>0.96997535584983607</v>
      </c>
      <c r="L37">
        <f t="shared" si="7"/>
        <v>0.96065734281056714</v>
      </c>
      <c r="M37" s="30">
        <f t="shared" si="8"/>
        <v>0.97690364128612861</v>
      </c>
      <c r="O37" s="29">
        <f t="shared" si="9"/>
        <v>3.0484614147830259E-2</v>
      </c>
      <c r="P37">
        <f t="shared" si="10"/>
        <v>4.0137496747975746E-2</v>
      </c>
      <c r="Q37" s="30">
        <f t="shared" si="11"/>
        <v>2.3367258941376767E-2</v>
      </c>
    </row>
    <row r="38" spans="2:17" x14ac:dyDescent="0.3">
      <c r="B38" s="6">
        <v>35</v>
      </c>
      <c r="C38" s="4">
        <v>2.581E-2</v>
      </c>
      <c r="D38" s="4">
        <v>3.5810000000000002E-2</v>
      </c>
      <c r="E38" s="4">
        <v>1.882E-2</v>
      </c>
      <c r="G38" s="29">
        <f t="shared" si="3"/>
        <v>0.40988073390848567</v>
      </c>
      <c r="H38">
        <f t="shared" si="4"/>
        <v>0.29187474427444626</v>
      </c>
      <c r="I38" s="30">
        <f t="shared" si="5"/>
        <v>0.52070150920109992</v>
      </c>
      <c r="K38" s="29">
        <f t="shared" si="6"/>
        <v>0.97000448007651907</v>
      </c>
      <c r="L38">
        <f t="shared" si="7"/>
        <v>0.96068590161298129</v>
      </c>
      <c r="M38" s="30">
        <f t="shared" si="8"/>
        <v>0.97695226438455107</v>
      </c>
      <c r="O38" s="29">
        <f t="shared" si="9"/>
        <v>3.0454588859787739E-2</v>
      </c>
      <c r="P38">
        <f t="shared" si="10"/>
        <v>4.0107768793328252E-2</v>
      </c>
      <c r="Q38" s="30">
        <f t="shared" si="11"/>
        <v>2.3317487514229678E-2</v>
      </c>
    </row>
    <row r="39" spans="2:17" x14ac:dyDescent="0.3">
      <c r="B39" s="5">
        <v>36</v>
      </c>
      <c r="C39" s="3">
        <v>2.596E-2</v>
      </c>
      <c r="D39" s="3">
        <v>3.5959999999999999E-2</v>
      </c>
      <c r="E39" s="3">
        <v>1.8970000000000001E-2</v>
      </c>
      <c r="G39" s="29">
        <f t="shared" si="3"/>
        <v>0.39747018785099719</v>
      </c>
      <c r="H39">
        <f t="shared" si="4"/>
        <v>0.28031895758030101</v>
      </c>
      <c r="I39" s="30">
        <f t="shared" si="5"/>
        <v>0.50838142605608061</v>
      </c>
      <c r="K39" s="29">
        <f t="shared" si="6"/>
        <v>0.96972156768837203</v>
      </c>
      <c r="L39">
        <f t="shared" si="7"/>
        <v>0.96040840490371615</v>
      </c>
      <c r="M39" s="30">
        <f t="shared" si="8"/>
        <v>0.97633945182159787</v>
      </c>
      <c r="O39" s="29">
        <f t="shared" si="9"/>
        <v>3.074629230984878E-2</v>
      </c>
      <c r="P39">
        <f t="shared" si="10"/>
        <v>4.0396663211737391E-2</v>
      </c>
      <c r="Q39" s="30">
        <f t="shared" si="11"/>
        <v>2.3944954039557029E-2</v>
      </c>
    </row>
    <row r="40" spans="2:17" x14ac:dyDescent="0.3">
      <c r="B40" s="5">
        <v>37</v>
      </c>
      <c r="C40" s="3">
        <v>2.6110000000000001E-2</v>
      </c>
      <c r="D40" s="3">
        <v>3.6110000000000003E-2</v>
      </c>
      <c r="E40" s="3">
        <v>1.9109999999999999E-2</v>
      </c>
      <c r="G40" s="29">
        <f t="shared" si="3"/>
        <v>0.38532302185706108</v>
      </c>
      <c r="H40">
        <f t="shared" si="4"/>
        <v>0.26914293466709527</v>
      </c>
      <c r="I40" s="30">
        <f t="shared" si="5"/>
        <v>0.49638730346167365</v>
      </c>
      <c r="K40" s="29">
        <f t="shared" si="6"/>
        <v>0.96943879977612357</v>
      </c>
      <c r="L40">
        <f t="shared" si="7"/>
        <v>0.96013104853957576</v>
      </c>
      <c r="M40" s="30">
        <f t="shared" si="8"/>
        <v>0.97640723681143327</v>
      </c>
      <c r="O40" s="29">
        <f t="shared" si="9"/>
        <v>3.1037931845182717E-2</v>
      </c>
      <c r="P40">
        <f t="shared" si="10"/>
        <v>4.0685494941355128E-2</v>
      </c>
      <c r="Q40" s="30">
        <f t="shared" si="11"/>
        <v>2.3875528762579531E-2</v>
      </c>
    </row>
    <row r="41" spans="2:17" x14ac:dyDescent="0.3">
      <c r="B41" s="5">
        <v>38</v>
      </c>
      <c r="C41" s="3">
        <v>2.6259999999999999E-2</v>
      </c>
      <c r="D41" s="3">
        <v>3.6260000000000001E-2</v>
      </c>
      <c r="E41" s="3">
        <v>1.925E-2</v>
      </c>
      <c r="G41" s="29">
        <f t="shared" si="3"/>
        <v>0.37343818647922755</v>
      </c>
      <c r="H41">
        <f t="shared" si="4"/>
        <v>0.2583378773095239</v>
      </c>
      <c r="I41" s="30">
        <f t="shared" si="5"/>
        <v>0.48454334743921817</v>
      </c>
      <c r="K41" s="29">
        <f t="shared" si="6"/>
        <v>0.96915617623739514</v>
      </c>
      <c r="L41">
        <f t="shared" si="7"/>
        <v>0.95985383242203171</v>
      </c>
      <c r="M41" s="30">
        <f t="shared" si="8"/>
        <v>0.97613968782066174</v>
      </c>
      <c r="O41" s="29">
        <f t="shared" si="9"/>
        <v>3.1329507490665834E-2</v>
      </c>
      <c r="P41">
        <f t="shared" si="10"/>
        <v>4.0974264006381905E-2</v>
      </c>
      <c r="Q41" s="30">
        <f t="shared" si="11"/>
        <v>2.4149580043059195E-2</v>
      </c>
    </row>
    <row r="42" spans="2:17" x14ac:dyDescent="0.3">
      <c r="B42" s="5">
        <v>39</v>
      </c>
      <c r="C42" s="3">
        <v>2.64E-2</v>
      </c>
      <c r="D42" s="3">
        <v>3.6400000000000002E-2</v>
      </c>
      <c r="E42" s="3">
        <v>1.9390000000000001E-2</v>
      </c>
      <c r="G42" s="29">
        <f t="shared" si="3"/>
        <v>0.36195193998143993</v>
      </c>
      <c r="H42">
        <f t="shared" si="4"/>
        <v>0.24798832301889565</v>
      </c>
      <c r="I42" s="30">
        <f t="shared" si="5"/>
        <v>0.47285241501935521</v>
      </c>
      <c r="K42" s="29">
        <f t="shared" si="6"/>
        <v>0.96924190692419576</v>
      </c>
      <c r="L42">
        <f t="shared" si="7"/>
        <v>0.95993791387304739</v>
      </c>
      <c r="M42" s="30">
        <f t="shared" si="8"/>
        <v>0.97587226719415543</v>
      </c>
      <c r="O42" s="29">
        <f t="shared" si="9"/>
        <v>3.1241052299132946E-2</v>
      </c>
      <c r="P42">
        <f t="shared" si="10"/>
        <v>4.0886669660555902E-2</v>
      </c>
      <c r="Q42" s="30">
        <f t="shared" si="11"/>
        <v>2.4423574910244616E-2</v>
      </c>
    </row>
    <row r="43" spans="2:17" x14ac:dyDescent="0.3">
      <c r="B43" s="6">
        <v>40</v>
      </c>
      <c r="C43" s="4">
        <v>2.6540000000000001E-2</v>
      </c>
      <c r="D43" s="4">
        <v>3.6540000000000003E-2</v>
      </c>
      <c r="E43" s="4">
        <v>1.9529999999999999E-2</v>
      </c>
      <c r="G43" s="29">
        <f t="shared" si="3"/>
        <v>0.35072355328981947</v>
      </c>
      <c r="H43">
        <f t="shared" si="4"/>
        <v>0.23798925759158665</v>
      </c>
      <c r="I43" s="30">
        <f t="shared" si="5"/>
        <v>0.46131716846104526</v>
      </c>
      <c r="K43" s="29">
        <f t="shared" si="6"/>
        <v>0.96897823867943289</v>
      </c>
      <c r="L43">
        <f t="shared" si="7"/>
        <v>0.95967928930852475</v>
      </c>
      <c r="M43" s="30">
        <f t="shared" si="8"/>
        <v>0.97560497484645858</v>
      </c>
      <c r="O43" s="29">
        <f t="shared" si="9"/>
        <v>3.1513124846709553E-2</v>
      </c>
      <c r="P43">
        <f t="shared" si="10"/>
        <v>4.1156123972237196E-2</v>
      </c>
      <c r="Q43" s="30">
        <f t="shared" si="11"/>
        <v>2.4697513384760325E-2</v>
      </c>
    </row>
    <row r="44" spans="2:17" x14ac:dyDescent="0.3">
      <c r="B44" s="5">
        <v>41</v>
      </c>
      <c r="C44" s="3">
        <v>2.6669999999999999E-2</v>
      </c>
      <c r="D44" s="3">
        <v>3.6670000000000001E-2</v>
      </c>
      <c r="E44" s="3">
        <v>1.966E-2</v>
      </c>
      <c r="G44" s="29">
        <f t="shared" si="3"/>
        <v>0.33988676611542612</v>
      </c>
      <c r="H44">
        <f t="shared" si="4"/>
        <v>0.22842216276614175</v>
      </c>
      <c r="I44" s="30">
        <f t="shared" si="5"/>
        <v>0.45012103118456215</v>
      </c>
      <c r="K44" s="29">
        <f t="shared" si="6"/>
        <v>0.96910162698586033</v>
      </c>
      <c r="L44">
        <f t="shared" si="7"/>
        <v>0.95980030812204564</v>
      </c>
      <c r="M44" s="30">
        <f t="shared" si="8"/>
        <v>0.97573006590274225</v>
      </c>
      <c r="O44" s="29">
        <f t="shared" si="9"/>
        <v>3.1385794380323642E-2</v>
      </c>
      <c r="P44">
        <f t="shared" si="10"/>
        <v>4.1030028530698523E-2</v>
      </c>
      <c r="Q44" s="30">
        <f t="shared" si="11"/>
        <v>2.4569302643044754E-2</v>
      </c>
    </row>
    <row r="45" spans="2:17" x14ac:dyDescent="0.3">
      <c r="B45" s="5">
        <v>42</v>
      </c>
      <c r="C45" s="3">
        <v>2.6800000000000001E-2</v>
      </c>
      <c r="D45" s="3">
        <v>3.6799999999999999E-2</v>
      </c>
      <c r="E45" s="3">
        <v>1.9789999999999999E-2</v>
      </c>
      <c r="G45" s="29">
        <f t="shared" si="3"/>
        <v>0.32930162970189214</v>
      </c>
      <c r="H45">
        <f t="shared" si="4"/>
        <v>0.21918482444165821</v>
      </c>
      <c r="I45" s="30">
        <f t="shared" si="5"/>
        <v>0.43908494091056349</v>
      </c>
      <c r="K45" s="29">
        <f t="shared" si="6"/>
        <v>0.96885687390976782</v>
      </c>
      <c r="L45">
        <f t="shared" si="7"/>
        <v>0.95956023613198727</v>
      </c>
      <c r="M45" s="30">
        <f t="shared" si="8"/>
        <v>0.97548194927716325</v>
      </c>
      <c r="O45" s="29">
        <f t="shared" si="9"/>
        <v>3.1638382944300311E-2</v>
      </c>
      <c r="P45">
        <f t="shared" si="10"/>
        <v>4.1280186836837554E-2</v>
      </c>
      <c r="Q45" s="30">
        <f t="shared" si="11"/>
        <v>2.4823623162789452E-2</v>
      </c>
    </row>
    <row r="46" spans="2:17" x14ac:dyDescent="0.3">
      <c r="B46" s="5">
        <v>43</v>
      </c>
      <c r="C46" s="3">
        <v>2.6929999999999999E-2</v>
      </c>
      <c r="D46" s="3">
        <v>3.6929999999999998E-2</v>
      </c>
      <c r="E46" s="3">
        <v>1.992E-2</v>
      </c>
      <c r="G46" s="29">
        <f t="shared" si="3"/>
        <v>0.3189655855815991</v>
      </c>
      <c r="H46">
        <f t="shared" si="4"/>
        <v>0.21026844480661172</v>
      </c>
      <c r="I46" s="30">
        <f t="shared" si="5"/>
        <v>0.42821053829189804</v>
      </c>
      <c r="K46" s="29">
        <f t="shared" si="6"/>
        <v>0.96861222906898459</v>
      </c>
      <c r="L46">
        <f t="shared" si="7"/>
        <v>0.9593202692852496</v>
      </c>
      <c r="M46" s="30">
        <f t="shared" si="8"/>
        <v>0.97523394312700773</v>
      </c>
      <c r="O46" s="29">
        <f t="shared" si="9"/>
        <v>3.1890923582710833E-2</v>
      </c>
      <c r="P46">
        <f t="shared" si="10"/>
        <v>4.1530298135911303E-2</v>
      </c>
      <c r="Q46" s="30">
        <f t="shared" si="11"/>
        <v>2.5077895096962382E-2</v>
      </c>
    </row>
    <row r="47" spans="2:17" x14ac:dyDescent="0.3">
      <c r="B47" s="5">
        <v>44</v>
      </c>
      <c r="C47" s="3">
        <v>2.7050000000000001E-2</v>
      </c>
      <c r="D47" s="3">
        <v>3.705E-2</v>
      </c>
      <c r="E47" s="3">
        <v>2.0039999999999999E-2</v>
      </c>
      <c r="G47" s="29">
        <f t="shared" si="3"/>
        <v>0.30900832177573956</v>
      </c>
      <c r="H47">
        <f t="shared" si="4"/>
        <v>0.2017499257057887</v>
      </c>
      <c r="I47" s="30">
        <f t="shared" si="5"/>
        <v>0.41767942881635384</v>
      </c>
      <c r="K47" s="29">
        <f t="shared" si="6"/>
        <v>0.96878263908094175</v>
      </c>
      <c r="L47">
        <f t="shared" si="7"/>
        <v>0.95948741092056067</v>
      </c>
      <c r="M47" s="30">
        <f t="shared" si="8"/>
        <v>0.97540670176508948</v>
      </c>
      <c r="O47" s="29">
        <f t="shared" si="9"/>
        <v>3.1715006927620935E-2</v>
      </c>
      <c r="P47">
        <f t="shared" si="10"/>
        <v>4.1356084078444252E-2</v>
      </c>
      <c r="Q47" s="30">
        <f t="shared" si="11"/>
        <v>2.4900764943352773E-2</v>
      </c>
    </row>
    <row r="48" spans="2:17" x14ac:dyDescent="0.3">
      <c r="B48" s="6">
        <v>45</v>
      </c>
      <c r="C48" s="4">
        <v>2.717E-2</v>
      </c>
      <c r="D48" s="4">
        <v>3.7170000000000002E-2</v>
      </c>
      <c r="E48" s="4">
        <v>2.0160000000000001E-2</v>
      </c>
      <c r="G48" s="29">
        <f t="shared" si="3"/>
        <v>0.29929213083059769</v>
      </c>
      <c r="H48">
        <f t="shared" si="4"/>
        <v>0.19353183449254577</v>
      </c>
      <c r="I48" s="30">
        <f t="shared" si="5"/>
        <v>0.40731171657889265</v>
      </c>
      <c r="K48" s="29">
        <f t="shared" si="6"/>
        <v>0.96855686316372636</v>
      </c>
      <c r="L48">
        <f t="shared" si="7"/>
        <v>0.95926595172467444</v>
      </c>
      <c r="M48" s="30">
        <f t="shared" si="8"/>
        <v>0.97517782413454768</v>
      </c>
      <c r="O48" s="29">
        <f t="shared" si="9"/>
        <v>3.1948085247632395E-2</v>
      </c>
      <c r="P48">
        <f t="shared" si="10"/>
        <v>4.1586920621776012E-2</v>
      </c>
      <c r="Q48" s="30">
        <f t="shared" si="11"/>
        <v>2.5135440886438758E-2</v>
      </c>
    </row>
    <row r="49" spans="2:17" x14ac:dyDescent="0.3">
      <c r="B49" s="5">
        <v>46</v>
      </c>
      <c r="C49" s="3">
        <v>2.7279999999999999E-2</v>
      </c>
      <c r="D49" s="3">
        <v>3.7280000000000001E-2</v>
      </c>
      <c r="E49" s="3">
        <v>2.0279999999999999E-2</v>
      </c>
      <c r="G49" s="29">
        <f t="shared" si="3"/>
        <v>0.28994370460990543</v>
      </c>
      <c r="H49">
        <f t="shared" si="4"/>
        <v>0.18568798525965011</v>
      </c>
      <c r="I49" s="30">
        <f t="shared" si="5"/>
        <v>0.39710816728046844</v>
      </c>
      <c r="K49" s="29">
        <f t="shared" si="6"/>
        <v>0.9687648779981336</v>
      </c>
      <c r="L49">
        <f t="shared" si="7"/>
        <v>0.95946997943019141</v>
      </c>
      <c r="M49" s="30">
        <f t="shared" si="8"/>
        <v>0.97494904054288878</v>
      </c>
      <c r="O49" s="29">
        <f t="shared" si="9"/>
        <v>3.173334049895489E-2</v>
      </c>
      <c r="P49">
        <f t="shared" si="10"/>
        <v>4.1374251746426241E-2</v>
      </c>
      <c r="Q49" s="30">
        <f t="shared" si="11"/>
        <v>2.5370075460068253E-2</v>
      </c>
    </row>
    <row r="50" spans="2:17" x14ac:dyDescent="0.3">
      <c r="B50" s="5">
        <v>47</v>
      </c>
      <c r="C50" s="3">
        <v>2.7390000000000001E-2</v>
      </c>
      <c r="D50" s="3">
        <v>3.739E-2</v>
      </c>
      <c r="E50" s="3">
        <v>2.0400000000000001E-2</v>
      </c>
      <c r="G50" s="29">
        <f t="shared" si="3"/>
        <v>0.28082727798558355</v>
      </c>
      <c r="H50">
        <f t="shared" si="4"/>
        <v>0.17812435659699183</v>
      </c>
      <c r="I50" s="30">
        <f t="shared" si="5"/>
        <v>0.38706941217137686</v>
      </c>
      <c r="K50" s="29">
        <f t="shared" si="6"/>
        <v>0.96855794252685268</v>
      </c>
      <c r="L50">
        <f t="shared" si="7"/>
        <v>0.95926700022038613</v>
      </c>
      <c r="M50" s="30">
        <f t="shared" si="8"/>
        <v>0.97472035093652099</v>
      </c>
      <c r="O50" s="29">
        <f t="shared" si="9"/>
        <v>3.1946970844786315E-2</v>
      </c>
      <c r="P50">
        <f t="shared" si="10"/>
        <v>4.1585827603581427E-2</v>
      </c>
      <c r="Q50" s="30">
        <f t="shared" si="11"/>
        <v>2.5604668677170636E-2</v>
      </c>
    </row>
    <row r="51" spans="2:17" x14ac:dyDescent="0.3">
      <c r="B51" s="5">
        <v>48</v>
      </c>
      <c r="C51" s="3">
        <v>2.75E-2</v>
      </c>
      <c r="D51" s="3">
        <v>3.7499999999999999E-2</v>
      </c>
      <c r="E51" s="3">
        <v>2.052E-2</v>
      </c>
      <c r="G51" s="29">
        <f t="shared" si="3"/>
        <v>0.27193939918145021</v>
      </c>
      <c r="H51">
        <f t="shared" si="4"/>
        <v>0.17083267507059779</v>
      </c>
      <c r="I51" s="30">
        <f t="shared" si="5"/>
        <v>0.3771959508750411</v>
      </c>
      <c r="K51" s="29">
        <f t="shared" si="6"/>
        <v>0.96835108445344975</v>
      </c>
      <c r="L51">
        <f t="shared" si="7"/>
        <v>0.95906409619830069</v>
      </c>
      <c r="M51" s="30">
        <f t="shared" si="8"/>
        <v>0.97449175526180754</v>
      </c>
      <c r="O51" s="29">
        <f t="shared" si="9"/>
        <v>3.2160566910794525E-2</v>
      </c>
      <c r="P51">
        <f t="shared" si="10"/>
        <v>4.1797369837579416E-2</v>
      </c>
      <c r="Q51" s="30">
        <f t="shared" si="11"/>
        <v>2.5839220550755399E-2</v>
      </c>
    </row>
    <row r="52" spans="2:17" x14ac:dyDescent="0.3">
      <c r="B52" s="5">
        <v>49</v>
      </c>
      <c r="C52" s="3">
        <v>2.76E-2</v>
      </c>
      <c r="D52" s="3">
        <v>3.7600000000000001E-2</v>
      </c>
      <c r="E52" s="3">
        <v>2.0629999999999999E-2</v>
      </c>
      <c r="G52" s="29">
        <f t="shared" si="3"/>
        <v>0.26340215020802832</v>
      </c>
      <c r="H52">
        <f t="shared" si="4"/>
        <v>0.16388220900563755</v>
      </c>
      <c r="I52" s="30">
        <f t="shared" si="5"/>
        <v>0.36766462524291854</v>
      </c>
      <c r="K52" s="29">
        <f t="shared" si="6"/>
        <v>0.96860606076530509</v>
      </c>
      <c r="L52">
        <f t="shared" si="7"/>
        <v>0.95931418821318626</v>
      </c>
      <c r="M52" s="30">
        <f t="shared" si="8"/>
        <v>0.97473110299829246</v>
      </c>
      <c r="O52" s="29">
        <f t="shared" si="9"/>
        <v>3.1897291789858048E-2</v>
      </c>
      <c r="P52">
        <f t="shared" si="10"/>
        <v>4.1536637094371685E-2</v>
      </c>
      <c r="Q52" s="30">
        <f t="shared" si="11"/>
        <v>2.5593637818464323E-2</v>
      </c>
    </row>
    <row r="53" spans="2:17" x14ac:dyDescent="0.3">
      <c r="B53" s="6">
        <v>50</v>
      </c>
      <c r="C53" s="4">
        <v>2.7709999999999999E-2</v>
      </c>
      <c r="D53" s="4">
        <v>3.771E-2</v>
      </c>
      <c r="E53" s="4">
        <v>2.0740000000000001E-2</v>
      </c>
      <c r="G53" s="29">
        <f t="shared" si="3"/>
        <v>0.25495931300893881</v>
      </c>
      <c r="H53">
        <f t="shared" si="4"/>
        <v>0.1571085809987022</v>
      </c>
      <c r="I53" s="30">
        <f t="shared" si="5"/>
        <v>0.35829710928244829</v>
      </c>
      <c r="K53" s="29">
        <f t="shared" si="6"/>
        <v>0.9679469693302748</v>
      </c>
      <c r="L53">
        <f t="shared" si="7"/>
        <v>0.95866770378533073</v>
      </c>
      <c r="M53" s="30">
        <f t="shared" si="8"/>
        <v>0.97452157396355155</v>
      </c>
      <c r="O53" s="29">
        <f t="shared" si="9"/>
        <v>3.2577976955960576E-2</v>
      </c>
      <c r="P53">
        <f t="shared" si="10"/>
        <v>4.221076697540499E-2</v>
      </c>
      <c r="Q53" s="30">
        <f t="shared" si="11"/>
        <v>2.5808621784395816E-2</v>
      </c>
    </row>
    <row r="54" spans="2:17" x14ac:dyDescent="0.3">
      <c r="B54" s="5">
        <v>51</v>
      </c>
      <c r="C54" s="3">
        <v>2.7799999999999998E-2</v>
      </c>
      <c r="D54" s="3">
        <v>3.78E-2</v>
      </c>
      <c r="E54" s="3">
        <v>2.085E-2</v>
      </c>
      <c r="G54" s="29">
        <f t="shared" si="3"/>
        <v>0.24697939315035083</v>
      </c>
      <c r="H54">
        <f t="shared" si="4"/>
        <v>0.15073115107409982</v>
      </c>
      <c r="I54" s="30">
        <f t="shared" si="5"/>
        <v>0.34909321749537009</v>
      </c>
      <c r="K54" s="29">
        <f t="shared" si="6"/>
        <v>0.96870120269617999</v>
      </c>
      <c r="L54">
        <f t="shared" si="7"/>
        <v>0.95940750095212768</v>
      </c>
      <c r="M54" s="30">
        <f t="shared" si="8"/>
        <v>0.97431212379717336</v>
      </c>
      <c r="O54" s="29">
        <f t="shared" si="9"/>
        <v>3.1799070993657252E-2</v>
      </c>
      <c r="P54">
        <f t="shared" si="10"/>
        <v>4.1439371566450771E-2</v>
      </c>
      <c r="Q54" s="30">
        <f t="shared" si="11"/>
        <v>2.6023571030629904E-2</v>
      </c>
    </row>
    <row r="55" spans="2:17" x14ac:dyDescent="0.3">
      <c r="B55" s="5">
        <v>52</v>
      </c>
      <c r="C55" s="3">
        <v>2.7900000000000001E-2</v>
      </c>
      <c r="D55" s="3">
        <v>3.7900000000000003E-2</v>
      </c>
      <c r="E55" s="3">
        <v>2.0959999999999999E-2</v>
      </c>
      <c r="G55" s="29">
        <f t="shared" si="3"/>
        <v>0.23908645073215171</v>
      </c>
      <c r="H55">
        <f t="shared" si="4"/>
        <v>0.14451515017359798</v>
      </c>
      <c r="I55" s="30">
        <f t="shared" si="5"/>
        <v>0.34005266402664197</v>
      </c>
      <c r="K55" s="29">
        <f t="shared" si="6"/>
        <v>0.96804210133679358</v>
      </c>
      <c r="L55">
        <f t="shared" si="7"/>
        <v>0.95876100689069876</v>
      </c>
      <c r="M55" s="30">
        <f t="shared" si="8"/>
        <v>0.97410275245795053</v>
      </c>
      <c r="O55" s="29">
        <f t="shared" si="9"/>
        <v>3.2479699534835912E-2</v>
      </c>
      <c r="P55">
        <f t="shared" si="10"/>
        <v>4.2113445906911358E-2</v>
      </c>
      <c r="Q55" s="30">
        <f t="shared" si="11"/>
        <v>2.62384855671388E-2</v>
      </c>
    </row>
    <row r="56" spans="2:17" x14ac:dyDescent="0.3">
      <c r="B56" s="5">
        <v>53</v>
      </c>
      <c r="C56" s="3">
        <v>2.7990000000000001E-2</v>
      </c>
      <c r="D56" s="3">
        <v>3.7990000000000003E-2</v>
      </c>
      <c r="E56" s="3">
        <v>2.1059999999999999E-2</v>
      </c>
      <c r="G56" s="29">
        <f t="shared" si="3"/>
        <v>0.23152016902386235</v>
      </c>
      <c r="H56">
        <f t="shared" si="4"/>
        <v>0.13859961199988405</v>
      </c>
      <c r="I56" s="30">
        <f t="shared" si="5"/>
        <v>0.33134701181650994</v>
      </c>
      <c r="K56" s="29">
        <f t="shared" si="6"/>
        <v>0.96835336471339462</v>
      </c>
      <c r="L56">
        <f t="shared" si="7"/>
        <v>0.9590663112718083</v>
      </c>
      <c r="M56" s="30">
        <f t="shared" si="8"/>
        <v>0.97439910598833013</v>
      </c>
      <c r="O56" s="29">
        <f t="shared" si="9"/>
        <v>3.2158212127186885E-2</v>
      </c>
      <c r="P56">
        <f t="shared" si="10"/>
        <v>4.1795060220361537E-2</v>
      </c>
      <c r="Q56" s="30">
        <f t="shared" si="11"/>
        <v>2.5934299526586577E-2</v>
      </c>
    </row>
    <row r="57" spans="2:17" x14ac:dyDescent="0.3">
      <c r="B57" s="5">
        <v>54</v>
      </c>
      <c r="C57" s="3">
        <v>2.8080000000000001E-2</v>
      </c>
      <c r="D57" s="3">
        <v>3.8080000000000003E-2</v>
      </c>
      <c r="E57" s="3">
        <v>2.1160000000000002E-2</v>
      </c>
      <c r="G57" s="29">
        <f t="shared" si="3"/>
        <v>0.22415417314614897</v>
      </c>
      <c r="H57">
        <f t="shared" si="4"/>
        <v>0.13290322256685952</v>
      </c>
      <c r="I57" s="30">
        <f t="shared" si="5"/>
        <v>0.32280116138772347</v>
      </c>
      <c r="K57" s="29">
        <f t="shared" si="6"/>
        <v>0.96818421518621911</v>
      </c>
      <c r="L57">
        <f t="shared" si="7"/>
        <v>0.9589003940860289</v>
      </c>
      <c r="M57" s="30">
        <f t="shared" si="8"/>
        <v>0.97420875962654252</v>
      </c>
      <c r="O57" s="29">
        <f t="shared" si="9"/>
        <v>3.2332904866807712E-2</v>
      </c>
      <c r="P57">
        <f t="shared" si="10"/>
        <v>4.1968073845394541E-2</v>
      </c>
      <c r="Q57" s="30">
        <f t="shared" si="11"/>
        <v>2.6129666040036397E-2</v>
      </c>
    </row>
    <row r="58" spans="2:17" x14ac:dyDescent="0.3">
      <c r="B58" s="6">
        <v>55</v>
      </c>
      <c r="C58" s="4">
        <v>2.8160000000000001E-2</v>
      </c>
      <c r="D58" s="4">
        <v>3.8159999999999999E-2</v>
      </c>
      <c r="E58" s="4">
        <v>2.1260000000000001E-2</v>
      </c>
      <c r="G58" s="29">
        <f t="shared" si="3"/>
        <v>0.21710073165065547</v>
      </c>
      <c r="H58">
        <f t="shared" si="4"/>
        <v>0.12748643023512807</v>
      </c>
      <c r="I58" s="30">
        <f t="shared" si="5"/>
        <v>0.31441429603268339</v>
      </c>
      <c r="K58" s="29">
        <f t="shared" si="6"/>
        <v>0.96853307972591418</v>
      </c>
      <c r="L58">
        <f t="shared" si="7"/>
        <v>0.9592425809764964</v>
      </c>
      <c r="M58" s="30">
        <f t="shared" si="8"/>
        <v>0.97401847837540323</v>
      </c>
      <c r="O58" s="29">
        <f t="shared" si="9"/>
        <v>3.1972641090174107E-2</v>
      </c>
      <c r="P58">
        <f t="shared" si="10"/>
        <v>4.1611284076804589E-2</v>
      </c>
      <c r="Q58" s="30">
        <f t="shared" si="11"/>
        <v>2.6325003881570205E-2</v>
      </c>
    </row>
    <row r="59" spans="2:17" x14ac:dyDescent="0.3">
      <c r="B59" s="5">
        <v>56</v>
      </c>
      <c r="C59" s="3">
        <v>2.8250000000000001E-2</v>
      </c>
      <c r="D59" s="3">
        <v>3.8249999999999999E-2</v>
      </c>
      <c r="E59" s="3">
        <v>2.137E-2</v>
      </c>
      <c r="G59" s="29">
        <f t="shared" si="3"/>
        <v>0.21012212384195494</v>
      </c>
      <c r="H59">
        <f t="shared" si="4"/>
        <v>0.12220567444426307</v>
      </c>
      <c r="I59" s="30">
        <f t="shared" si="5"/>
        <v>0.3060176963324806</v>
      </c>
      <c r="K59" s="29">
        <f t="shared" si="6"/>
        <v>0.96785543855315026</v>
      </c>
      <c r="L59">
        <f t="shared" si="7"/>
        <v>0.95857789898795109</v>
      </c>
      <c r="M59" s="30">
        <f t="shared" si="8"/>
        <v>0.97329447227383714</v>
      </c>
      <c r="O59" s="29">
        <f t="shared" si="9"/>
        <v>3.2672543195593297E-2</v>
      </c>
      <c r="P59">
        <f t="shared" si="10"/>
        <v>4.2304448032558443E-2</v>
      </c>
      <c r="Q59" s="30">
        <f t="shared" si="11"/>
        <v>2.7068598931030859E-2</v>
      </c>
    </row>
    <row r="60" spans="2:17" x14ac:dyDescent="0.3">
      <c r="B60" s="5">
        <v>57</v>
      </c>
      <c r="C60" s="3">
        <v>2.8330000000000001E-2</v>
      </c>
      <c r="D60" s="3">
        <v>3.8330000000000003E-2</v>
      </c>
      <c r="E60" s="3">
        <v>2.146E-2</v>
      </c>
      <c r="G60" s="29">
        <f t="shared" si="3"/>
        <v>0.20344506732076353</v>
      </c>
      <c r="H60">
        <f t="shared" si="4"/>
        <v>0.11718771387914956</v>
      </c>
      <c r="I60" s="30">
        <f t="shared" si="5"/>
        <v>0.29811389865269411</v>
      </c>
      <c r="K60" s="29">
        <f t="shared" si="6"/>
        <v>0.96822297243571742</v>
      </c>
      <c r="L60">
        <f t="shared" si="7"/>
        <v>0.95893839964524596</v>
      </c>
      <c r="M60" s="30">
        <f t="shared" si="8"/>
        <v>0.97417208947550793</v>
      </c>
      <c r="O60" s="29">
        <f t="shared" si="9"/>
        <v>3.2292874805205762E-2</v>
      </c>
      <c r="P60">
        <f t="shared" si="10"/>
        <v>4.192844010835025E-2</v>
      </c>
      <c r="Q60" s="30">
        <f t="shared" si="11"/>
        <v>2.6167307706506094E-2</v>
      </c>
    </row>
    <row r="61" spans="2:17" x14ac:dyDescent="0.3">
      <c r="B61" s="5">
        <v>58</v>
      </c>
      <c r="C61" s="3">
        <v>2.8400000000000002E-2</v>
      </c>
      <c r="D61" s="3">
        <v>3.8399999999999997E-2</v>
      </c>
      <c r="E61" s="3">
        <v>2.155E-2</v>
      </c>
      <c r="G61" s="29">
        <f t="shared" si="3"/>
        <v>0.19706071657672186</v>
      </c>
      <c r="H61">
        <f t="shared" si="4"/>
        <v>0.11242129702875588</v>
      </c>
      <c r="I61" s="30">
        <f t="shared" si="5"/>
        <v>0.29036319622841417</v>
      </c>
      <c r="K61" s="29">
        <f t="shared" si="6"/>
        <v>0.96861879804647355</v>
      </c>
      <c r="L61">
        <f t="shared" si="7"/>
        <v>0.95932665044298859</v>
      </c>
      <c r="M61" s="30">
        <f t="shared" si="8"/>
        <v>0.97400086859650381</v>
      </c>
      <c r="O61" s="29">
        <f t="shared" si="9"/>
        <v>3.1884141761237765E-2</v>
      </c>
      <c r="P61">
        <f t="shared" si="10"/>
        <v>4.1523646408932885E-2</v>
      </c>
      <c r="Q61" s="30">
        <f t="shared" si="11"/>
        <v>2.6343083557141468E-2</v>
      </c>
    </row>
    <row r="62" spans="2:17" x14ac:dyDescent="0.3">
      <c r="B62" s="5">
        <v>59</v>
      </c>
      <c r="C62" s="3">
        <v>2.8479999999999998E-2</v>
      </c>
      <c r="D62" s="3">
        <v>3.848E-2</v>
      </c>
      <c r="E62" s="3">
        <v>2.1649999999999999E-2</v>
      </c>
      <c r="G62" s="29">
        <f t="shared" si="3"/>
        <v>0.19074132971821034</v>
      </c>
      <c r="H62">
        <f t="shared" si="4"/>
        <v>0.10777298762193879</v>
      </c>
      <c r="I62" s="30">
        <f t="shared" si="5"/>
        <v>0.28260105514757156</v>
      </c>
      <c r="K62" s="29">
        <f t="shared" si="6"/>
        <v>0.96793177773688244</v>
      </c>
      <c r="L62">
        <f t="shared" si="7"/>
        <v>0.95865276838401792</v>
      </c>
      <c r="M62" s="30">
        <f t="shared" si="8"/>
        <v>0.97326747610693565</v>
      </c>
      <c r="O62" s="29">
        <f t="shared" si="9"/>
        <v>3.2593671733761813E-2</v>
      </c>
      <c r="P62">
        <f t="shared" si="10"/>
        <v>4.22263464275935E-2</v>
      </c>
      <c r="Q62" s="30">
        <f t="shared" si="11"/>
        <v>2.7096336211034387E-2</v>
      </c>
    </row>
    <row r="63" spans="2:17" x14ac:dyDescent="0.3">
      <c r="B63" s="6">
        <v>60</v>
      </c>
      <c r="C63" s="4">
        <v>2.8549999999999999E-2</v>
      </c>
      <c r="D63" s="4">
        <v>3.8550000000000001E-2</v>
      </c>
      <c r="E63" s="4">
        <v>2.1739999999999999E-2</v>
      </c>
      <c r="G63" s="29">
        <f t="shared" si="3"/>
        <v>0.18470365465740965</v>
      </c>
      <c r="H63">
        <f t="shared" si="4"/>
        <v>0.10336068905680371</v>
      </c>
      <c r="I63" s="30">
        <f t="shared" si="5"/>
        <v>0.27515426442069213</v>
      </c>
      <c r="K63" s="29">
        <f t="shared" si="6"/>
        <v>0.96834626732591</v>
      </c>
      <c r="L63">
        <f t="shared" si="7"/>
        <v>0.9590593277360635</v>
      </c>
      <c r="M63" s="30">
        <f t="shared" si="8"/>
        <v>0.97364910501487412</v>
      </c>
      <c r="O63" s="29">
        <f t="shared" si="9"/>
        <v>3.216554149036456E-2</v>
      </c>
      <c r="P63">
        <f t="shared" si="10"/>
        <v>4.1802341845300808E-2</v>
      </c>
      <c r="Q63" s="30">
        <f t="shared" si="11"/>
        <v>2.6704302041181752E-2</v>
      </c>
    </row>
    <row r="64" spans="2:17" x14ac:dyDescent="0.3">
      <c r="B64" s="5">
        <v>61</v>
      </c>
      <c r="C64" s="3">
        <v>2.862E-2</v>
      </c>
      <c r="D64" s="3">
        <v>3.8620000000000002E-2</v>
      </c>
      <c r="E64" s="3">
        <v>2.1829999999999999E-2</v>
      </c>
      <c r="G64" s="29">
        <f t="shared" si="3"/>
        <v>0.17883280095917259</v>
      </c>
      <c r="H64">
        <f t="shared" si="4"/>
        <v>9.911569795473979E-2</v>
      </c>
      <c r="I64" s="30">
        <f t="shared" si="5"/>
        <v>0.26785663553645428</v>
      </c>
      <c r="K64" s="29">
        <f t="shared" si="6"/>
        <v>0.96821473993502516</v>
      </c>
      <c r="L64">
        <f t="shared" si="7"/>
        <v>0.95893031344120583</v>
      </c>
      <c r="M64" s="30">
        <f t="shared" si="8"/>
        <v>0.97347804548985561</v>
      </c>
      <c r="O64" s="29">
        <f t="shared" si="9"/>
        <v>3.2301377532290364E-2</v>
      </c>
      <c r="P64">
        <f t="shared" si="10"/>
        <v>4.1936872598004007E-2</v>
      </c>
      <c r="Q64" s="30">
        <f t="shared" si="11"/>
        <v>2.6880006566090915E-2</v>
      </c>
    </row>
    <row r="65" spans="2:17" x14ac:dyDescent="0.3">
      <c r="B65" s="5">
        <v>62</v>
      </c>
      <c r="C65" s="3">
        <v>2.869E-2</v>
      </c>
      <c r="D65" s="3">
        <v>3.8690000000000002E-2</v>
      </c>
      <c r="E65" s="3">
        <v>2.1919999999999999E-2</v>
      </c>
      <c r="G65" s="29">
        <f t="shared" si="3"/>
        <v>0.1731250380545106</v>
      </c>
      <c r="H65">
        <f t="shared" si="4"/>
        <v>9.5032262976560367E-2</v>
      </c>
      <c r="I65" s="30">
        <f t="shared" si="5"/>
        <v>0.26070674870099692</v>
      </c>
      <c r="K65" s="29">
        <f t="shared" si="6"/>
        <v>0.96808324382301059</v>
      </c>
      <c r="L65">
        <f t="shared" si="7"/>
        <v>0.95880132953264297</v>
      </c>
      <c r="M65" s="30">
        <f t="shared" si="8"/>
        <v>0.97330703859123069</v>
      </c>
      <c r="O65" s="29">
        <f t="shared" si="9"/>
        <v>3.2437199718048683E-2</v>
      </c>
      <c r="P65">
        <f t="shared" si="10"/>
        <v>4.2071389759703794E-2</v>
      </c>
      <c r="Q65" s="30">
        <f t="shared" si="11"/>
        <v>2.7055687898830807E-2</v>
      </c>
    </row>
    <row r="66" spans="2:17" x14ac:dyDescent="0.3">
      <c r="B66" s="5">
        <v>63</v>
      </c>
      <c r="C66" s="3">
        <v>2.8760000000000001E-2</v>
      </c>
      <c r="D66" s="3">
        <v>3.8760000000000003E-2</v>
      </c>
      <c r="E66" s="3">
        <v>2.2009999999999998E-2</v>
      </c>
      <c r="G66" s="29">
        <f t="shared" si="3"/>
        <v>0.16757668857076749</v>
      </c>
      <c r="H66">
        <f t="shared" si="4"/>
        <v>9.1104805344434311E-2</v>
      </c>
      <c r="I66" s="30">
        <f t="shared" si="5"/>
        <v>0.25370314458056753</v>
      </c>
      <c r="K66" s="29">
        <f t="shared" si="6"/>
        <v>0.96795177897955964</v>
      </c>
      <c r="L66">
        <f t="shared" si="7"/>
        <v>0.95867237600040356</v>
      </c>
      <c r="M66" s="30">
        <f t="shared" si="8"/>
        <v>0.97313608429652976</v>
      </c>
      <c r="O66" s="29">
        <f t="shared" si="9"/>
        <v>3.2573008050134224E-2</v>
      </c>
      <c r="P66">
        <f t="shared" si="10"/>
        <v>4.2205893332881057E-2</v>
      </c>
      <c r="Q66" s="30">
        <f t="shared" si="11"/>
        <v>2.7231346044841138E-2</v>
      </c>
    </row>
    <row r="67" spans="2:17" x14ac:dyDescent="0.3">
      <c r="B67" s="5">
        <v>64</v>
      </c>
      <c r="C67" s="3">
        <v>2.8830000000000001E-2</v>
      </c>
      <c r="D67" s="3">
        <v>3.8830000000000003E-2</v>
      </c>
      <c r="E67" s="3">
        <v>2.2100000000000002E-2</v>
      </c>
      <c r="G67" s="29">
        <f t="shared" si="3"/>
        <v>0.16218412861259424</v>
      </c>
      <c r="H67">
        <f t="shared" si="4"/>
        <v>8.7327914684677876E-2</v>
      </c>
      <c r="I67" s="30">
        <f t="shared" si="5"/>
        <v>0.24684432638879214</v>
      </c>
      <c r="K67" s="29">
        <f t="shared" si="6"/>
        <v>0.96782034539430595</v>
      </c>
      <c r="L67">
        <f t="shared" si="7"/>
        <v>0.95854345283459663</v>
      </c>
      <c r="M67" s="30">
        <f t="shared" si="8"/>
        <v>0.97296518258331144</v>
      </c>
      <c r="O67" s="29">
        <f t="shared" si="9"/>
        <v>3.2708802531107216E-2</v>
      </c>
      <c r="P67">
        <f t="shared" si="10"/>
        <v>4.2340383319936496E-2</v>
      </c>
      <c r="Q67" s="30">
        <f t="shared" si="11"/>
        <v>2.7406981009543308E-2</v>
      </c>
    </row>
    <row r="68" spans="2:17" x14ac:dyDescent="0.3">
      <c r="B68" s="6">
        <v>65</v>
      </c>
      <c r="C68" s="4">
        <v>2.8889999999999999E-2</v>
      </c>
      <c r="D68" s="4">
        <v>3.8890000000000001E-2</v>
      </c>
      <c r="E68" s="4">
        <v>2.2179999999999998E-2</v>
      </c>
      <c r="G68" s="29">
        <f t="shared" si="3"/>
        <v>0.15704296788710406</v>
      </c>
      <c r="H68">
        <f t="shared" si="4"/>
        <v>8.3748727169894538E-2</v>
      </c>
      <c r="I68" s="30">
        <f t="shared" si="5"/>
        <v>0.2402815066412019</v>
      </c>
      <c r="K68" s="29">
        <f t="shared" si="6"/>
        <v>0.96830046953749249</v>
      </c>
      <c r="L68">
        <f t="shared" si="7"/>
        <v>0.95901439387729559</v>
      </c>
      <c r="M68" s="30">
        <f t="shared" si="8"/>
        <v>0.97341312298483429</v>
      </c>
      <c r="O68" s="29">
        <f t="shared" si="9"/>
        <v>3.2212837455657874E-2</v>
      </c>
      <c r="P68">
        <f t="shared" si="10"/>
        <v>4.1849194954511164E-2</v>
      </c>
      <c r="Q68" s="30">
        <f t="shared" si="11"/>
        <v>2.6946700078390583E-2</v>
      </c>
    </row>
    <row r="69" spans="2:17" x14ac:dyDescent="0.3">
      <c r="B69" s="5">
        <v>66</v>
      </c>
      <c r="C69" s="3">
        <v>2.895E-2</v>
      </c>
      <c r="D69" s="3">
        <v>3.8949999999999999E-2</v>
      </c>
      <c r="E69" s="3">
        <v>2.2270000000000002E-2</v>
      </c>
      <c r="G69" s="29">
        <f t="shared" ref="G69:G132" si="12">(1+C69)^(-$B69)</f>
        <v>0.15204707878796175</v>
      </c>
      <c r="H69">
        <f t="shared" ref="H69:H132" si="13">(1+D69)^(-$B69)</f>
        <v>8.0306975612395262E-2</v>
      </c>
      <c r="I69" s="30">
        <f t="shared" ref="I69:I132" si="14">(1+E69)^(-$B69)</f>
        <v>0.2337057218586775</v>
      </c>
      <c r="K69" s="29">
        <f t="shared" ref="K69:K132" si="15">G69/G68</f>
        <v>0.96818775672442858</v>
      </c>
      <c r="L69">
        <f t="shared" ref="L69:L132" si="16">H69/H68</f>
        <v>0.95890383443658478</v>
      </c>
      <c r="M69" s="30">
        <f t="shared" ref="M69:M132" si="17">I69/I68</f>
        <v>0.97263299671104675</v>
      </c>
      <c r="O69" s="29">
        <f t="shared" ref="O69:O132" si="18">-LN(K69)</f>
        <v>3.2329246955764945E-2</v>
      </c>
      <c r="P69">
        <f t="shared" ref="P69:P132" si="19">-LN(L69)</f>
        <v>4.1964486043777754E-2</v>
      </c>
      <c r="Q69" s="30">
        <f t="shared" ref="Q69:Q132" si="20">-LN(M69)</f>
        <v>2.7748455296503258E-2</v>
      </c>
    </row>
    <row r="70" spans="2:17" x14ac:dyDescent="0.3">
      <c r="B70" s="5">
        <v>67</v>
      </c>
      <c r="C70" s="3">
        <v>2.9010000000000001E-2</v>
      </c>
      <c r="D70" s="3">
        <v>3.9010000000000003E-2</v>
      </c>
      <c r="E70" s="3">
        <v>2.2349999999999998E-2</v>
      </c>
      <c r="G70" s="29">
        <f t="shared" si="12"/>
        <v>0.14719298596687261</v>
      </c>
      <c r="H70">
        <f t="shared" si="13"/>
        <v>7.6997789944492745E-2</v>
      </c>
      <c r="I70" s="30">
        <f t="shared" si="14"/>
        <v>0.22741898207524758</v>
      </c>
      <c r="K70" s="29">
        <f t="shared" si="15"/>
        <v>0.96807506688202505</v>
      </c>
      <c r="L70">
        <f t="shared" si="16"/>
        <v>0.95879329731112739</v>
      </c>
      <c r="M70" s="30">
        <f t="shared" si="17"/>
        <v>0.97309976095822115</v>
      </c>
      <c r="O70" s="29">
        <f t="shared" si="18"/>
        <v>3.2445646280440173E-2</v>
      </c>
      <c r="P70">
        <f t="shared" si="19"/>
        <v>4.207976715230094E-2</v>
      </c>
      <c r="Q70" s="30">
        <f t="shared" si="20"/>
        <v>2.7268672803981236E-2</v>
      </c>
    </row>
    <row r="71" spans="2:17" x14ac:dyDescent="0.3">
      <c r="B71" s="5">
        <v>68</v>
      </c>
      <c r="C71" s="3">
        <v>2.9069999999999999E-2</v>
      </c>
      <c r="D71" s="3">
        <v>3.9070000000000001E-2</v>
      </c>
      <c r="E71" s="3">
        <v>2.2429999999999999E-2</v>
      </c>
      <c r="G71" s="29">
        <f t="shared" si="12"/>
        <v>0.14247727596021845</v>
      </c>
      <c r="H71">
        <f t="shared" si="13"/>
        <v>7.3816455509926604E-2</v>
      </c>
      <c r="I71" s="30">
        <f t="shared" si="14"/>
        <v>0.22126681643687188</v>
      </c>
      <c r="K71" s="29">
        <f t="shared" si="15"/>
        <v>0.96796240000379175</v>
      </c>
      <c r="L71">
        <f t="shared" si="16"/>
        <v>0.95868278249467231</v>
      </c>
      <c r="M71" s="30">
        <f t="shared" si="17"/>
        <v>0.97294787980213504</v>
      </c>
      <c r="O71" s="29">
        <f t="shared" si="18"/>
        <v>3.2562035431257297E-2</v>
      </c>
      <c r="P71">
        <f t="shared" si="19"/>
        <v>4.2195038281616554E-2</v>
      </c>
      <c r="Q71" s="30">
        <f t="shared" si="20"/>
        <v>2.7424764724048666E-2</v>
      </c>
    </row>
    <row r="72" spans="2:17" x14ac:dyDescent="0.3">
      <c r="B72" s="5">
        <v>69</v>
      </c>
      <c r="C72" s="3">
        <v>2.912E-2</v>
      </c>
      <c r="D72" s="3">
        <v>3.9120000000000002E-2</v>
      </c>
      <c r="E72" s="3">
        <v>2.2509999999999999E-2</v>
      </c>
      <c r="G72" s="29">
        <f t="shared" si="12"/>
        <v>0.13798908366142779</v>
      </c>
      <c r="H72">
        <f t="shared" si="13"/>
        <v>7.0805409412800238E-2</v>
      </c>
      <c r="I72" s="30">
        <f t="shared" si="14"/>
        <v>0.2152474828479895</v>
      </c>
      <c r="K72" s="29">
        <f t="shared" si="15"/>
        <v>0.96849889030694392</v>
      </c>
      <c r="L72">
        <f t="shared" si="16"/>
        <v>0.95920901272858528</v>
      </c>
      <c r="M72" s="30">
        <f t="shared" si="17"/>
        <v>0.97279604015724741</v>
      </c>
      <c r="O72" s="29">
        <f t="shared" si="18"/>
        <v>3.2007941921035704E-2</v>
      </c>
      <c r="P72">
        <f t="shared" si="19"/>
        <v>4.1646279223958353E-2</v>
      </c>
      <c r="Q72" s="30">
        <f t="shared" si="20"/>
        <v>2.7580838340559331E-2</v>
      </c>
    </row>
    <row r="73" spans="2:17" x14ac:dyDescent="0.3">
      <c r="B73" s="6">
        <v>70</v>
      </c>
      <c r="C73" s="4">
        <v>2.9180000000000001E-2</v>
      </c>
      <c r="D73" s="4">
        <v>3.918E-2</v>
      </c>
      <c r="E73" s="4">
        <v>2.2589999999999999E-2</v>
      </c>
      <c r="G73" s="29">
        <f t="shared" si="12"/>
        <v>0.13353845279005919</v>
      </c>
      <c r="H73">
        <f t="shared" si="13"/>
        <v>6.7864932009122247E-2</v>
      </c>
      <c r="I73" s="30">
        <f t="shared" si="14"/>
        <v>0.2093592247987815</v>
      </c>
      <c r="K73" s="29">
        <f t="shared" si="15"/>
        <v>0.96774650027904574</v>
      </c>
      <c r="L73">
        <f t="shared" si="16"/>
        <v>0.95847100626825255</v>
      </c>
      <c r="M73" s="30">
        <f t="shared" si="17"/>
        <v>0.97264424200785493</v>
      </c>
      <c r="O73" s="29">
        <f t="shared" si="18"/>
        <v>3.2785105879101738E-2</v>
      </c>
      <c r="P73">
        <f t="shared" si="19"/>
        <v>4.2415966022022612E-2</v>
      </c>
      <c r="Q73" s="30">
        <f t="shared" si="20"/>
        <v>2.7736893657283428E-2</v>
      </c>
    </row>
    <row r="74" spans="2:17" x14ac:dyDescent="0.3">
      <c r="B74" s="5">
        <v>71</v>
      </c>
      <c r="C74" s="3">
        <v>2.9229999999999999E-2</v>
      </c>
      <c r="D74" s="3">
        <v>3.9230000000000001E-2</v>
      </c>
      <c r="E74" s="3">
        <v>2.2669999999999999E-2</v>
      </c>
      <c r="G74" s="29">
        <f t="shared" si="12"/>
        <v>0.12930550229269452</v>
      </c>
      <c r="H74">
        <f t="shared" si="13"/>
        <v>6.5083523530757373E-2</v>
      </c>
      <c r="I74" s="30">
        <f t="shared" si="14"/>
        <v>0.20360027285304647</v>
      </c>
      <c r="K74" s="29">
        <f t="shared" si="15"/>
        <v>0.9683016359039337</v>
      </c>
      <c r="L74">
        <f t="shared" si="16"/>
        <v>0.95901552692941616</v>
      </c>
      <c r="M74" s="30">
        <f t="shared" si="17"/>
        <v>0.97249248533820254</v>
      </c>
      <c r="O74" s="29">
        <f t="shared" si="18"/>
        <v>3.2211632906269098E-2</v>
      </c>
      <c r="P74">
        <f t="shared" si="19"/>
        <v>4.1848013479594347E-2</v>
      </c>
      <c r="Q74" s="30">
        <f t="shared" si="20"/>
        <v>2.7892930678050966E-2</v>
      </c>
    </row>
    <row r="75" spans="2:17" x14ac:dyDescent="0.3">
      <c r="B75" s="5">
        <v>72</v>
      </c>
      <c r="C75" s="3">
        <v>2.928E-2</v>
      </c>
      <c r="D75" s="3">
        <v>3.9280000000000002E-2</v>
      </c>
      <c r="E75" s="3">
        <v>2.2749999999999999E-2</v>
      </c>
      <c r="G75" s="29">
        <f t="shared" si="12"/>
        <v>0.12519458588266877</v>
      </c>
      <c r="H75">
        <f t="shared" si="13"/>
        <v>6.241011416370186E-2</v>
      </c>
      <c r="I75" s="30">
        <f t="shared" si="14"/>
        <v>0.19796884610512408</v>
      </c>
      <c r="K75" s="29">
        <f t="shared" si="15"/>
        <v>0.96820772250882003</v>
      </c>
      <c r="L75">
        <f t="shared" si="16"/>
        <v>0.95892340761495332</v>
      </c>
      <c r="M75" s="30">
        <f t="shared" si="17"/>
        <v>0.97234077013252818</v>
      </c>
      <c r="O75" s="29">
        <f t="shared" si="18"/>
        <v>3.2308625357949546E-2</v>
      </c>
      <c r="P75">
        <f t="shared" si="19"/>
        <v>4.1944074217373326E-2</v>
      </c>
      <c r="Q75" s="30">
        <f t="shared" si="20"/>
        <v>2.8048949406705825E-2</v>
      </c>
    </row>
    <row r="76" spans="2:17" x14ac:dyDescent="0.3">
      <c r="B76" s="5">
        <v>73</v>
      </c>
      <c r="C76" s="3">
        <v>2.9329999999999998E-2</v>
      </c>
      <c r="D76" s="3">
        <v>3.9329999999999997E-2</v>
      </c>
      <c r="E76" s="3">
        <v>2.282E-2</v>
      </c>
      <c r="G76" s="29">
        <f t="shared" si="12"/>
        <v>0.1212026094157012</v>
      </c>
      <c r="H76">
        <f t="shared" si="13"/>
        <v>5.9840771133392819E-2</v>
      </c>
      <c r="I76" s="30">
        <f t="shared" si="14"/>
        <v>0.19260056543191384</v>
      </c>
      <c r="K76" s="29">
        <f t="shared" si="15"/>
        <v>0.96811382506022414</v>
      </c>
      <c r="L76">
        <f t="shared" si="16"/>
        <v>0.95883130379204806</v>
      </c>
      <c r="M76" s="30">
        <f t="shared" si="17"/>
        <v>0.9728832047121212</v>
      </c>
      <c r="O76" s="29">
        <f t="shared" si="18"/>
        <v>3.2405610746339582E-2</v>
      </c>
      <c r="P76">
        <f t="shared" si="19"/>
        <v>4.2040128026995825E-2</v>
      </c>
      <c r="Q76" s="30">
        <f t="shared" si="20"/>
        <v>2.7491240268151512E-2</v>
      </c>
    </row>
    <row r="77" spans="2:17" x14ac:dyDescent="0.3">
      <c r="B77" s="5">
        <v>74</v>
      </c>
      <c r="C77" s="3">
        <v>2.938E-2</v>
      </c>
      <c r="D77" s="3">
        <v>3.9379999999999998E-2</v>
      </c>
      <c r="E77" s="3">
        <v>2.29E-2</v>
      </c>
      <c r="G77" s="29">
        <f t="shared" si="12"/>
        <v>0.11732654312523727</v>
      </c>
      <c r="H77">
        <f t="shared" si="13"/>
        <v>5.7371693968779412E-2</v>
      </c>
      <c r="I77" s="30">
        <f t="shared" si="14"/>
        <v>0.18721678498420288</v>
      </c>
      <c r="K77" s="29">
        <f t="shared" si="15"/>
        <v>0.96801994355443466</v>
      </c>
      <c r="L77">
        <f t="shared" si="16"/>
        <v>0.9587392154571418</v>
      </c>
      <c r="M77" s="30">
        <f t="shared" si="17"/>
        <v>0.97204691255377351</v>
      </c>
      <c r="O77" s="29">
        <f t="shared" si="18"/>
        <v>3.2502589072305389E-2</v>
      </c>
      <c r="P77">
        <f t="shared" si="19"/>
        <v>4.2136174909290523E-2</v>
      </c>
      <c r="Q77" s="30">
        <f t="shared" si="20"/>
        <v>2.8351211742153225E-2</v>
      </c>
    </row>
    <row r="78" spans="2:17" x14ac:dyDescent="0.3">
      <c r="B78" s="6">
        <v>75</v>
      </c>
      <c r="C78" s="4">
        <v>2.9430000000000001E-2</v>
      </c>
      <c r="D78" s="4">
        <v>3.943E-2</v>
      </c>
      <c r="E78" s="4">
        <v>2.298E-2</v>
      </c>
      <c r="G78" s="29">
        <f t="shared" si="12"/>
        <v>0.11356342073105917</v>
      </c>
      <c r="H78">
        <f t="shared" si="13"/>
        <v>5.4999210489669055E-2</v>
      </c>
      <c r="I78" s="30">
        <f t="shared" si="14"/>
        <v>0.18195511690721522</v>
      </c>
      <c r="K78" s="29">
        <f t="shared" si="15"/>
        <v>0.96792607798764474</v>
      </c>
      <c r="L78">
        <f t="shared" si="16"/>
        <v>0.95864714260657147</v>
      </c>
      <c r="M78" s="30">
        <f t="shared" si="17"/>
        <v>0.97189531869467993</v>
      </c>
      <c r="O78" s="29">
        <f t="shared" si="18"/>
        <v>3.2599560336812765E-2</v>
      </c>
      <c r="P78">
        <f t="shared" si="19"/>
        <v>4.2232214865196002E-2</v>
      </c>
      <c r="Q78" s="30">
        <f t="shared" si="20"/>
        <v>2.8507177137589403E-2</v>
      </c>
    </row>
    <row r="79" spans="2:17" x14ac:dyDescent="0.3">
      <c r="B79" s="5">
        <v>76</v>
      </c>
      <c r="C79" s="3">
        <v>2.9479999999999999E-2</v>
      </c>
      <c r="D79" s="3">
        <v>3.9480000000000001E-2</v>
      </c>
      <c r="E79" s="3">
        <v>2.3050000000000001E-2</v>
      </c>
      <c r="G79" s="29">
        <f t="shared" si="12"/>
        <v>0.10991033854588668</v>
      </c>
      <c r="H79">
        <f t="shared" si="13"/>
        <v>5.2719772898880912E-2</v>
      </c>
      <c r="I79" s="30">
        <f t="shared" si="14"/>
        <v>0.17694514956225246</v>
      </c>
      <c r="K79" s="29">
        <f t="shared" si="15"/>
        <v>0.96783222835613836</v>
      </c>
      <c r="L79">
        <f t="shared" si="16"/>
        <v>0.95855508523679067</v>
      </c>
      <c r="M79" s="30">
        <f t="shared" si="17"/>
        <v>0.97246591670451621</v>
      </c>
      <c r="O79" s="29">
        <f t="shared" si="18"/>
        <v>3.2696524540734663E-2</v>
      </c>
      <c r="P79">
        <f t="shared" si="19"/>
        <v>4.2328247895530108E-2</v>
      </c>
      <c r="Q79" s="30">
        <f t="shared" si="20"/>
        <v>2.7920251194171082E-2</v>
      </c>
    </row>
    <row r="80" spans="2:17" x14ac:dyDescent="0.3">
      <c r="B80" s="5">
        <v>77</v>
      </c>
      <c r="C80" s="3">
        <v>2.9520000000000001E-2</v>
      </c>
      <c r="D80" s="3">
        <v>3.952E-2</v>
      </c>
      <c r="E80" s="3">
        <v>2.3120000000000002E-2</v>
      </c>
      <c r="G80" s="29">
        <f t="shared" si="12"/>
        <v>0.10644403619837328</v>
      </c>
      <c r="H80">
        <f t="shared" si="13"/>
        <v>5.0567396538018394E-2</v>
      </c>
      <c r="I80" s="30">
        <f t="shared" si="14"/>
        <v>0.17204964243457291</v>
      </c>
      <c r="K80" s="29">
        <f t="shared" si="15"/>
        <v>0.9684624540932858</v>
      </c>
      <c r="L80">
        <f t="shared" si="16"/>
        <v>0.95917326189946073</v>
      </c>
      <c r="M80" s="30">
        <f t="shared" si="17"/>
        <v>0.97233319398813345</v>
      </c>
      <c r="O80" s="29">
        <f t="shared" si="18"/>
        <v>3.2045563955949055E-2</v>
      </c>
      <c r="P80">
        <f t="shared" si="19"/>
        <v>4.1683551074935626E-2</v>
      </c>
      <c r="Q80" s="30">
        <f t="shared" si="20"/>
        <v>2.8056741092648604E-2</v>
      </c>
    </row>
    <row r="81" spans="2:17" x14ac:dyDescent="0.3">
      <c r="B81" s="5">
        <v>78</v>
      </c>
      <c r="C81" s="3">
        <v>2.9569999999999999E-2</v>
      </c>
      <c r="D81" s="3">
        <v>3.9570000000000001E-2</v>
      </c>
      <c r="E81" s="3">
        <v>2.3199999999999998E-2</v>
      </c>
      <c r="G81" s="29">
        <f t="shared" si="12"/>
        <v>0.10300099104541631</v>
      </c>
      <c r="H81">
        <f t="shared" si="13"/>
        <v>4.8462791693502601E-2</v>
      </c>
      <c r="I81" s="30">
        <f t="shared" si="14"/>
        <v>0.16713928704481745</v>
      </c>
      <c r="K81" s="29">
        <f t="shared" si="15"/>
        <v>0.96765394026828921</v>
      </c>
      <c r="L81">
        <f t="shared" si="16"/>
        <v>0.95838020169906368</v>
      </c>
      <c r="M81" s="30">
        <f t="shared" si="17"/>
        <v>0.9714596594315924</v>
      </c>
      <c r="O81" s="29">
        <f t="shared" si="18"/>
        <v>3.2880755346661968E-2</v>
      </c>
      <c r="P81">
        <f t="shared" si="19"/>
        <v>4.2510709493899158E-2</v>
      </c>
      <c r="Q81" s="30">
        <f t="shared" si="20"/>
        <v>2.8955535029265757E-2</v>
      </c>
    </row>
    <row r="82" spans="2:17" x14ac:dyDescent="0.3">
      <c r="B82" s="5">
        <v>79</v>
      </c>
      <c r="C82" s="3">
        <v>2.9610000000000001E-2</v>
      </c>
      <c r="D82" s="3">
        <v>3.9609999999999999E-2</v>
      </c>
      <c r="E82" s="3">
        <v>2.3269999999999999E-2</v>
      </c>
      <c r="G82" s="29">
        <f t="shared" si="12"/>
        <v>9.9736148877604125E-2</v>
      </c>
      <c r="H82">
        <f t="shared" si="13"/>
        <v>4.6476624903248359E-2</v>
      </c>
      <c r="I82" s="30">
        <f t="shared" si="14"/>
        <v>0.162469147068598</v>
      </c>
      <c r="K82" s="29">
        <f t="shared" si="15"/>
        <v>0.96830280820916936</v>
      </c>
      <c r="L82">
        <f t="shared" si="16"/>
        <v>0.95901666575843325</v>
      </c>
      <c r="M82" s="30">
        <f t="shared" si="17"/>
        <v>0.97205839477484912</v>
      </c>
      <c r="O82" s="29">
        <f t="shared" si="18"/>
        <v>3.2210422225131576E-2</v>
      </c>
      <c r="P82">
        <f t="shared" si="19"/>
        <v>4.184682598230266E-2</v>
      </c>
      <c r="Q82" s="30">
        <f t="shared" si="20"/>
        <v>2.833939939738727E-2</v>
      </c>
    </row>
    <row r="83" spans="2:17" x14ac:dyDescent="0.3">
      <c r="B83" s="6">
        <v>80</v>
      </c>
      <c r="C83" s="4">
        <v>2.9649999999999999E-2</v>
      </c>
      <c r="D83" s="4">
        <v>3.9649999999999998E-2</v>
      </c>
      <c r="E83" s="4">
        <v>2.334E-2</v>
      </c>
      <c r="G83" s="29">
        <f t="shared" si="12"/>
        <v>9.6567301047759901E-2</v>
      </c>
      <c r="H83">
        <f t="shared" si="13"/>
        <v>4.4568433304071585E-2</v>
      </c>
      <c r="I83" s="30">
        <f t="shared" si="14"/>
        <v>0.15790795082834685</v>
      </c>
      <c r="K83" s="29">
        <f t="shared" si="15"/>
        <v>0.96822769010528953</v>
      </c>
      <c r="L83">
        <f t="shared" si="16"/>
        <v>0.95894298256060739</v>
      </c>
      <c r="M83" s="30">
        <f t="shared" si="17"/>
        <v>0.9719257697689192</v>
      </c>
      <c r="O83" s="29">
        <f t="shared" si="18"/>
        <v>3.2288002313834434E-2</v>
      </c>
      <c r="P83">
        <f t="shared" si="19"/>
        <v>4.1923660964651416E-2</v>
      </c>
      <c r="Q83" s="30">
        <f t="shared" si="20"/>
        <v>2.847584598841885E-2</v>
      </c>
    </row>
    <row r="84" spans="2:17" x14ac:dyDescent="0.3">
      <c r="B84" s="5">
        <v>81</v>
      </c>
      <c r="C84" s="3">
        <v>2.9690000000000001E-2</v>
      </c>
      <c r="D84" s="3">
        <v>3.9690000000000003E-2</v>
      </c>
      <c r="E84" s="3">
        <v>2.341E-2</v>
      </c>
      <c r="G84" s="29">
        <f t="shared" si="12"/>
        <v>9.3491881865798182E-2</v>
      </c>
      <c r="H84">
        <f t="shared" si="13"/>
        <v>4.273530285768655E-2</v>
      </c>
      <c r="I84" s="30">
        <f t="shared" si="14"/>
        <v>0.15345386912228851</v>
      </c>
      <c r="K84" s="29">
        <f t="shared" si="15"/>
        <v>0.96815258220336209</v>
      </c>
      <c r="L84">
        <f t="shared" si="16"/>
        <v>0.95886930927371039</v>
      </c>
      <c r="M84" s="30">
        <f t="shared" si="17"/>
        <v>0.97179317645062635</v>
      </c>
      <c r="O84" s="29">
        <f t="shared" si="18"/>
        <v>3.236557788412834E-2</v>
      </c>
      <c r="P84">
        <f t="shared" si="19"/>
        <v>4.2000491515010209E-2</v>
      </c>
      <c r="Q84" s="30">
        <f t="shared" si="20"/>
        <v>2.861227859227489E-2</v>
      </c>
    </row>
    <row r="85" spans="2:17" x14ac:dyDescent="0.3">
      <c r="B85" s="5">
        <v>82</v>
      </c>
      <c r="C85" s="3">
        <v>2.9729999999999999E-2</v>
      </c>
      <c r="D85" s="3">
        <v>3.9730000000000001E-2</v>
      </c>
      <c r="E85" s="3">
        <v>2.3480000000000001E-2</v>
      </c>
      <c r="G85" s="29">
        <f t="shared" si="12"/>
        <v>9.0507385817948996E-2</v>
      </c>
      <c r="H85">
        <f t="shared" si="13"/>
        <v>4.0974422305991465E-2</v>
      </c>
      <c r="I85" s="30">
        <f t="shared" si="14"/>
        <v>0.14910508081625487</v>
      </c>
      <c r="K85" s="29">
        <f t="shared" si="15"/>
        <v>0.96807748450145392</v>
      </c>
      <c r="L85">
        <f t="shared" si="16"/>
        <v>0.95879564589587629</v>
      </c>
      <c r="M85" s="30">
        <f t="shared" si="17"/>
        <v>0.97166061480947052</v>
      </c>
      <c r="O85" s="29">
        <f t="shared" si="18"/>
        <v>3.2443148936491584E-2</v>
      </c>
      <c r="P85">
        <f t="shared" si="19"/>
        <v>4.2077317633849948E-2</v>
      </c>
      <c r="Q85" s="30">
        <f t="shared" si="20"/>
        <v>2.8748697211495526E-2</v>
      </c>
    </row>
    <row r="86" spans="2:17" x14ac:dyDescent="0.3">
      <c r="B86" s="5">
        <v>83</v>
      </c>
      <c r="C86" s="3">
        <v>2.9770000000000001E-2</v>
      </c>
      <c r="D86" s="3">
        <v>3.977E-2</v>
      </c>
      <c r="E86" s="3">
        <v>2.3550000000000001E-2</v>
      </c>
      <c r="G86" s="29">
        <f t="shared" si="12"/>
        <v>8.7611366417763265E-2</v>
      </c>
      <c r="H86">
        <f t="shared" si="13"/>
        <v>3.9283079791673815E-2</v>
      </c>
      <c r="I86" s="30">
        <f t="shared" si="14"/>
        <v>0.14485977360456986</v>
      </c>
      <c r="K86" s="29">
        <f t="shared" si="15"/>
        <v>0.96800239699762258</v>
      </c>
      <c r="L86">
        <f t="shared" si="16"/>
        <v>0.9587219924252518</v>
      </c>
      <c r="M86" s="30">
        <f t="shared" si="17"/>
        <v>0.97152808483490527</v>
      </c>
      <c r="O86" s="29">
        <f t="shared" si="18"/>
        <v>3.2520715471412491E-2</v>
      </c>
      <c r="P86">
        <f t="shared" si="19"/>
        <v>4.2154139321628738E-2</v>
      </c>
      <c r="Q86" s="30">
        <f t="shared" si="20"/>
        <v>2.8885101848672552E-2</v>
      </c>
    </row>
    <row r="87" spans="2:17" x14ac:dyDescent="0.3">
      <c r="B87" s="5">
        <v>84</v>
      </c>
      <c r="C87" s="3">
        <v>2.981E-2</v>
      </c>
      <c r="D87" s="3">
        <v>3.9809999999999998E-2</v>
      </c>
      <c r="E87" s="3">
        <v>2.3619999999999999E-2</v>
      </c>
      <c r="G87" s="29">
        <f t="shared" si="12"/>
        <v>8.4801435071122061E-2</v>
      </c>
      <c r="H87">
        <f t="shared" si="13"/>
        <v>3.7658659580423887E-2</v>
      </c>
      <c r="I87" s="30">
        <f t="shared" si="14"/>
        <v>0.14071614474325414</v>
      </c>
      <c r="K87" s="29">
        <f t="shared" si="15"/>
        <v>0.96792731968997703</v>
      </c>
      <c r="L87">
        <f t="shared" si="16"/>
        <v>0.95864834886000383</v>
      </c>
      <c r="M87" s="30">
        <f t="shared" si="17"/>
        <v>0.97139558651646962</v>
      </c>
      <c r="O87" s="29">
        <f t="shared" si="18"/>
        <v>3.2598277489326706E-2</v>
      </c>
      <c r="P87">
        <f t="shared" si="19"/>
        <v>4.2230956578783993E-2</v>
      </c>
      <c r="Q87" s="30">
        <f t="shared" si="20"/>
        <v>2.9021492506313661E-2</v>
      </c>
    </row>
    <row r="88" spans="2:17" x14ac:dyDescent="0.3">
      <c r="B88" s="6">
        <v>85</v>
      </c>
      <c r="C88" s="4">
        <v>2.9850000000000002E-2</v>
      </c>
      <c r="D88" s="4">
        <v>3.9849999999999997E-2</v>
      </c>
      <c r="E88" s="4">
        <v>2.3689999999999999E-2</v>
      </c>
      <c r="G88" s="29">
        <f t="shared" si="12"/>
        <v>8.2075259955308746E-2</v>
      </c>
      <c r="H88">
        <f t="shared" si="13"/>
        <v>3.609863888205242E-2</v>
      </c>
      <c r="I88" s="30">
        <f t="shared" si="14"/>
        <v>0.13667240175570253</v>
      </c>
      <c r="K88" s="29">
        <f t="shared" si="15"/>
        <v>0.96785225257654073</v>
      </c>
      <c r="L88">
        <f t="shared" si="16"/>
        <v>0.95857471519824322</v>
      </c>
      <c r="M88" s="30">
        <f t="shared" si="17"/>
        <v>0.971263119843642</v>
      </c>
      <c r="O88" s="29">
        <f t="shared" si="18"/>
        <v>3.2675834990758587E-2</v>
      </c>
      <c r="P88">
        <f t="shared" si="19"/>
        <v>4.2307769405812004E-2</v>
      </c>
      <c r="Q88" s="30">
        <f t="shared" si="20"/>
        <v>2.9157869186992823E-2</v>
      </c>
    </row>
    <row r="89" spans="2:17" x14ac:dyDescent="0.3">
      <c r="B89" s="5">
        <v>86</v>
      </c>
      <c r="C89" s="3">
        <v>2.989E-2</v>
      </c>
      <c r="D89" s="3">
        <v>3.9890000000000002E-2</v>
      </c>
      <c r="E89" s="3">
        <v>2.376E-2</v>
      </c>
      <c r="G89" s="29">
        <f t="shared" si="12"/>
        <v>7.9430564912241319E-2</v>
      </c>
      <c r="H89">
        <f t="shared" si="13"/>
        <v>3.460058476787943E-2</v>
      </c>
      <c r="I89" s="30">
        <f t="shared" si="14"/>
        <v>0.13272676311108716</v>
      </c>
      <c r="K89" s="29">
        <f t="shared" si="15"/>
        <v>0.96777719565545695</v>
      </c>
      <c r="L89">
        <f t="shared" si="16"/>
        <v>0.9585010914381652</v>
      </c>
      <c r="M89" s="30">
        <f t="shared" si="17"/>
        <v>0.97113068480593423</v>
      </c>
      <c r="O89" s="29">
        <f t="shared" si="18"/>
        <v>3.2753387976109119E-2</v>
      </c>
      <c r="P89">
        <f t="shared" si="19"/>
        <v>4.2384577803121444E-2</v>
      </c>
      <c r="Q89" s="30">
        <f t="shared" si="20"/>
        <v>2.9294231893253489E-2</v>
      </c>
    </row>
    <row r="90" spans="2:17" x14ac:dyDescent="0.3">
      <c r="B90" s="5">
        <v>87</v>
      </c>
      <c r="C90" s="3">
        <v>2.9919999999999999E-2</v>
      </c>
      <c r="D90" s="3">
        <v>3.9919999999999997E-2</v>
      </c>
      <c r="E90" s="3">
        <v>2.3820000000000001E-2</v>
      </c>
      <c r="G90" s="29">
        <f t="shared" si="12"/>
        <v>7.693008542947545E-2</v>
      </c>
      <c r="H90">
        <f t="shared" si="13"/>
        <v>3.3189906205748278E-2</v>
      </c>
      <c r="I90" s="30">
        <f t="shared" si="14"/>
        <v>0.12898701963208681</v>
      </c>
      <c r="K90" s="29">
        <f t="shared" si="15"/>
        <v>0.96851993328350972</v>
      </c>
      <c r="L90">
        <f t="shared" si="16"/>
        <v>0.95922963234307179</v>
      </c>
      <c r="M90" s="30">
        <f t="shared" si="17"/>
        <v>0.97182374231585578</v>
      </c>
      <c r="O90" s="29">
        <f t="shared" si="18"/>
        <v>3.1986214742847914E-2</v>
      </c>
      <c r="P90">
        <f t="shared" si="19"/>
        <v>4.1624782977997841E-2</v>
      </c>
      <c r="Q90" s="30">
        <f t="shared" si="20"/>
        <v>2.8580826030880902E-2</v>
      </c>
    </row>
    <row r="91" spans="2:17" x14ac:dyDescent="0.3">
      <c r="B91" s="5">
        <v>88</v>
      </c>
      <c r="C91" s="3">
        <v>2.9960000000000001E-2</v>
      </c>
      <c r="D91" s="3">
        <v>3.9960000000000002E-2</v>
      </c>
      <c r="E91" s="3">
        <v>2.3890000000000002E-2</v>
      </c>
      <c r="G91" s="29">
        <f t="shared" si="12"/>
        <v>7.4440356720372511E-2</v>
      </c>
      <c r="H91">
        <f t="shared" si="13"/>
        <v>3.1807980008495676E-2</v>
      </c>
      <c r="I91" s="30">
        <f t="shared" si="14"/>
        <v>0.12523031593752509</v>
      </c>
      <c r="K91" s="29">
        <f t="shared" si="15"/>
        <v>0.96763647544125808</v>
      </c>
      <c r="L91">
        <f t="shared" si="16"/>
        <v>0.95836305807296129</v>
      </c>
      <c r="M91" s="30">
        <f t="shared" si="17"/>
        <v>0.97087533532229009</v>
      </c>
      <c r="O91" s="29">
        <f t="shared" si="18"/>
        <v>3.2898804138605374E-2</v>
      </c>
      <c r="P91">
        <f t="shared" si="19"/>
        <v>4.2528597780205055E-2</v>
      </c>
      <c r="Q91" s="30">
        <f t="shared" si="20"/>
        <v>2.9557206860858231E-2</v>
      </c>
    </row>
    <row r="92" spans="2:17" x14ac:dyDescent="0.3">
      <c r="B92" s="5">
        <v>89</v>
      </c>
      <c r="C92" s="3">
        <v>2.9989999999999999E-2</v>
      </c>
      <c r="D92" s="3">
        <v>3.9989999999999998E-2</v>
      </c>
      <c r="E92" s="3">
        <v>2.3949999999999999E-2</v>
      </c>
      <c r="G92" s="29">
        <f t="shared" si="12"/>
        <v>7.2087882238323978E-2</v>
      </c>
      <c r="H92">
        <f t="shared" si="13"/>
        <v>3.0507348276247452E-2</v>
      </c>
      <c r="I92" s="30">
        <f t="shared" si="14"/>
        <v>0.12167216057011715</v>
      </c>
      <c r="K92" s="29">
        <f t="shared" si="15"/>
        <v>0.96839786124500504</v>
      </c>
      <c r="L92">
        <f t="shared" si="16"/>
        <v>0.95910989217483056</v>
      </c>
      <c r="M92" s="30">
        <f t="shared" si="17"/>
        <v>0.97158710859451125</v>
      </c>
      <c r="O92" s="29">
        <f t="shared" si="18"/>
        <v>3.2112262465689975E-2</v>
      </c>
      <c r="P92">
        <f t="shared" si="19"/>
        <v>4.1749620283246844E-2</v>
      </c>
      <c r="Q92" s="30">
        <f t="shared" si="20"/>
        <v>2.8824350165165859E-2</v>
      </c>
    </row>
    <row r="93" spans="2:17" x14ac:dyDescent="0.3">
      <c r="B93" s="6">
        <v>90</v>
      </c>
      <c r="C93" s="4">
        <v>3.0020000000000002E-2</v>
      </c>
      <c r="D93" s="4">
        <v>4.002E-2</v>
      </c>
      <c r="E93" s="4">
        <v>2.402E-2</v>
      </c>
      <c r="G93" s="29">
        <f t="shared" si="12"/>
        <v>6.9805689743367316E-2</v>
      </c>
      <c r="H93">
        <f t="shared" si="13"/>
        <v>2.9258213643923826E-2</v>
      </c>
      <c r="I93" s="30">
        <f t="shared" si="14"/>
        <v>0.11809744492071084</v>
      </c>
      <c r="K93" s="29">
        <f t="shared" si="15"/>
        <v>0.96834152392753492</v>
      </c>
      <c r="L93">
        <f t="shared" si="16"/>
        <v>0.95905463100192867</v>
      </c>
      <c r="M93" s="30">
        <f t="shared" si="17"/>
        <v>0.97062010214451422</v>
      </c>
      <c r="O93" s="29">
        <f t="shared" si="18"/>
        <v>3.2170439955048973E-2</v>
      </c>
      <c r="P93">
        <f t="shared" si="19"/>
        <v>4.1807239087316539E-2</v>
      </c>
      <c r="Q93" s="30">
        <f t="shared" si="20"/>
        <v>2.9820131176126495E-2</v>
      </c>
    </row>
    <row r="94" spans="2:17" x14ac:dyDescent="0.3">
      <c r="B94" s="5">
        <v>91</v>
      </c>
      <c r="C94" s="3">
        <v>3.006E-2</v>
      </c>
      <c r="D94" s="3">
        <v>4.0059999999999998E-2</v>
      </c>
      <c r="E94" s="3">
        <v>2.4049999999999998E-2</v>
      </c>
      <c r="G94" s="29">
        <f t="shared" si="12"/>
        <v>6.7532128236911793E-2</v>
      </c>
      <c r="H94">
        <f t="shared" si="13"/>
        <v>2.8034069362625941E-2</v>
      </c>
      <c r="I94" s="30">
        <f t="shared" si="14"/>
        <v>0.11502023919845158</v>
      </c>
      <c r="K94" s="29">
        <f t="shared" si="15"/>
        <v>0.96743014051126752</v>
      </c>
      <c r="L94">
        <f t="shared" si="16"/>
        <v>0.95816066229483876</v>
      </c>
      <c r="M94" s="30">
        <f t="shared" si="17"/>
        <v>0.97394350297480825</v>
      </c>
      <c r="O94" s="29">
        <f t="shared" si="18"/>
        <v>3.3112062875096979E-2</v>
      </c>
      <c r="P94">
        <f t="shared" si="19"/>
        <v>4.2739809127838257E-2</v>
      </c>
      <c r="Q94" s="30">
        <f t="shared" si="20"/>
        <v>2.6401982181300708E-2</v>
      </c>
    </row>
    <row r="95" spans="2:17" x14ac:dyDescent="0.3">
      <c r="B95" s="5">
        <v>92</v>
      </c>
      <c r="C95" s="3">
        <v>3.0089999999999999E-2</v>
      </c>
      <c r="D95" s="3">
        <v>4.0090000000000001E-2</v>
      </c>
      <c r="E95" s="3">
        <v>2.4070000000000001E-2</v>
      </c>
      <c r="G95" s="29">
        <f t="shared" si="12"/>
        <v>6.5385922892309323E-2</v>
      </c>
      <c r="H95">
        <f t="shared" si="13"/>
        <v>2.68828483350987E-2</v>
      </c>
      <c r="I95" s="30">
        <f t="shared" si="14"/>
        <v>0.11211733789254148</v>
      </c>
      <c r="K95" s="29">
        <f t="shared" si="15"/>
        <v>0.96821949195687584</v>
      </c>
      <c r="L95">
        <f t="shared" si="16"/>
        <v>0.95893492975864536</v>
      </c>
      <c r="M95" s="30">
        <f t="shared" si="17"/>
        <v>0.97476182169208025</v>
      </c>
      <c r="O95" s="29">
        <f t="shared" si="18"/>
        <v>3.2296469519642754E-2</v>
      </c>
      <c r="P95">
        <f t="shared" si="19"/>
        <v>4.193205858152823E-2</v>
      </c>
      <c r="Q95" s="30">
        <f t="shared" si="20"/>
        <v>2.5562123270859372E-2</v>
      </c>
    </row>
    <row r="96" spans="2:17" x14ac:dyDescent="0.3">
      <c r="B96" s="5">
        <v>93</v>
      </c>
      <c r="C96" s="3">
        <v>3.0120000000000001E-2</v>
      </c>
      <c r="D96" s="3">
        <v>4.0120000000000003E-2</v>
      </c>
      <c r="E96" s="3">
        <v>2.41E-2</v>
      </c>
      <c r="G96" s="29">
        <f t="shared" si="12"/>
        <v>6.3304242573069242E-2</v>
      </c>
      <c r="H96">
        <f t="shared" si="13"/>
        <v>2.5777417180156879E-2</v>
      </c>
      <c r="I96" s="30">
        <f t="shared" si="14"/>
        <v>0.10918423838411914</v>
      </c>
      <c r="K96" s="29">
        <f t="shared" si="15"/>
        <v>0.96816317294062504</v>
      </c>
      <c r="L96">
        <f t="shared" si="16"/>
        <v>0.95887968636498422</v>
      </c>
      <c r="M96" s="30">
        <f t="shared" si="17"/>
        <v>0.97383901933852945</v>
      </c>
      <c r="O96" s="29">
        <f t="shared" si="18"/>
        <v>3.2354638823972555E-2</v>
      </c>
      <c r="P96">
        <f t="shared" si="19"/>
        <v>4.1989669357055726E-2</v>
      </c>
      <c r="Q96" s="30">
        <f t="shared" si="20"/>
        <v>2.6509266886017045E-2</v>
      </c>
    </row>
    <row r="97" spans="2:17" x14ac:dyDescent="0.3">
      <c r="B97" s="5">
        <v>94</v>
      </c>
      <c r="C97" s="3">
        <v>3.015E-2</v>
      </c>
      <c r="D97" s="3">
        <v>4.0149999999999998E-2</v>
      </c>
      <c r="E97" s="3">
        <v>2.4119999999999999E-2</v>
      </c>
      <c r="G97" s="29">
        <f t="shared" si="12"/>
        <v>6.1285271480520931E-2</v>
      </c>
      <c r="H97">
        <f t="shared" si="13"/>
        <v>2.4716017812616786E-2</v>
      </c>
      <c r="I97" s="30">
        <f t="shared" si="14"/>
        <v>0.10641928360240024</v>
      </c>
      <c r="K97" s="29">
        <f t="shared" si="15"/>
        <v>0.96810685965924159</v>
      </c>
      <c r="L97">
        <f t="shared" si="16"/>
        <v>0.95882444854261251</v>
      </c>
      <c r="M97" s="30">
        <f t="shared" si="17"/>
        <v>0.97467624610805492</v>
      </c>
      <c r="O97" s="29">
        <f t="shared" si="18"/>
        <v>3.2412805588371334E-2</v>
      </c>
      <c r="P97">
        <f t="shared" si="19"/>
        <v>4.2047277641234192E-2</v>
      </c>
      <c r="Q97" s="30">
        <f t="shared" si="20"/>
        <v>2.564991840063938E-2</v>
      </c>
    </row>
    <row r="98" spans="2:17" x14ac:dyDescent="0.3">
      <c r="B98" s="6">
        <v>95</v>
      </c>
      <c r="C98" s="4">
        <v>3.0179999999999998E-2</v>
      </c>
      <c r="D98" s="4">
        <v>4.018E-2</v>
      </c>
      <c r="E98" s="4">
        <v>2.4140000000000002E-2</v>
      </c>
      <c r="G98" s="29">
        <f t="shared" si="12"/>
        <v>5.932724089304417E-2</v>
      </c>
      <c r="H98">
        <f t="shared" si="13"/>
        <v>2.3696957028030818E-2</v>
      </c>
      <c r="I98" s="30">
        <f t="shared" si="14"/>
        <v>0.10372030039497469</v>
      </c>
      <c r="K98" s="29">
        <f t="shared" si="15"/>
        <v>0.96805055211187063</v>
      </c>
      <c r="L98">
        <f t="shared" si="16"/>
        <v>0.95876921629075018</v>
      </c>
      <c r="M98" s="30">
        <f t="shared" si="17"/>
        <v>0.97463821296232933</v>
      </c>
      <c r="O98" s="29">
        <f t="shared" si="18"/>
        <v>3.2470969813082097E-2</v>
      </c>
      <c r="P98">
        <f t="shared" si="19"/>
        <v>4.2104883434255412E-2</v>
      </c>
      <c r="Q98" s="30">
        <f t="shared" si="20"/>
        <v>2.5688940473813305E-2</v>
      </c>
    </row>
    <row r="99" spans="2:17" x14ac:dyDescent="0.3">
      <c r="B99" s="5">
        <v>96</v>
      </c>
      <c r="C99" s="3">
        <v>3.0210000000000001E-2</v>
      </c>
      <c r="D99" s="3">
        <v>4.0210000000000003E-2</v>
      </c>
      <c r="E99" s="3">
        <v>2.4170000000000001E-2</v>
      </c>
      <c r="G99" s="29">
        <f t="shared" si="12"/>
        <v>5.7428428070498805E-2</v>
      </c>
      <c r="H99">
        <f t="shared" si="13"/>
        <v>2.2718604213928618E-2</v>
      </c>
      <c r="I99" s="30">
        <f t="shared" si="14"/>
        <v>0.1009911153873808</v>
      </c>
      <c r="K99" s="29">
        <f t="shared" si="15"/>
        <v>0.96799425029779207</v>
      </c>
      <c r="L99">
        <f t="shared" si="16"/>
        <v>0.95871398960866916</v>
      </c>
      <c r="M99" s="30">
        <f t="shared" si="17"/>
        <v>0.97368706996411547</v>
      </c>
      <c r="O99" s="29">
        <f t="shared" si="18"/>
        <v>3.2529131498208762E-2</v>
      </c>
      <c r="P99">
        <f t="shared" si="19"/>
        <v>4.2162486736257096E-2</v>
      </c>
      <c r="Q99" s="30">
        <f t="shared" si="20"/>
        <v>2.6665310366571104E-2</v>
      </c>
    </row>
    <row r="100" spans="2:17" x14ac:dyDescent="0.3">
      <c r="B100" s="5">
        <v>97</v>
      </c>
      <c r="C100" s="3">
        <v>3.024E-2</v>
      </c>
      <c r="D100" s="3">
        <v>4.0239999999999998E-2</v>
      </c>
      <c r="E100" s="3">
        <v>2.419E-2</v>
      </c>
      <c r="G100" s="29">
        <f t="shared" si="12"/>
        <v>5.5587155180405662E-2</v>
      </c>
      <c r="H100">
        <f t="shared" si="13"/>
        <v>2.177938913766166E-2</v>
      </c>
      <c r="I100" s="30">
        <f t="shared" si="14"/>
        <v>9.8421159819983672E-2</v>
      </c>
      <c r="K100" s="29">
        <f t="shared" si="15"/>
        <v>0.9679379542161104</v>
      </c>
      <c r="L100">
        <f t="shared" si="16"/>
        <v>0.95865876849550768</v>
      </c>
      <c r="M100" s="30">
        <f t="shared" si="17"/>
        <v>0.97455265685957304</v>
      </c>
      <c r="O100" s="29">
        <f t="shared" si="18"/>
        <v>3.2587290644036572E-2</v>
      </c>
      <c r="P100">
        <f t="shared" si="19"/>
        <v>4.2220087547516501E-2</v>
      </c>
      <c r="Q100" s="30">
        <f t="shared" si="20"/>
        <v>2.5776726748760359E-2</v>
      </c>
    </row>
    <row r="101" spans="2:17" x14ac:dyDescent="0.3">
      <c r="B101" s="5">
        <v>98</v>
      </c>
      <c r="C101" s="3">
        <v>3.0269999999999998E-2</v>
      </c>
      <c r="D101" s="3">
        <v>4.027E-2</v>
      </c>
      <c r="E101" s="3">
        <v>2.4219999999999998E-2</v>
      </c>
      <c r="G101" s="29">
        <f t="shared" si="12"/>
        <v>5.3801788245591141E-2</v>
      </c>
      <c r="H101">
        <f t="shared" si="13"/>
        <v>2.0877799808454993E-2</v>
      </c>
      <c r="I101" s="30">
        <f t="shared" si="14"/>
        <v>9.5821131922626923E-2</v>
      </c>
      <c r="K101" s="29">
        <f t="shared" si="15"/>
        <v>0.96788166386604624</v>
      </c>
      <c r="L101">
        <f t="shared" si="16"/>
        <v>0.95860355295054589</v>
      </c>
      <c r="M101" s="30">
        <f t="shared" si="17"/>
        <v>0.97358263302208281</v>
      </c>
      <c r="O101" s="29">
        <f t="shared" si="18"/>
        <v>3.2645447250730944E-2</v>
      </c>
      <c r="P101">
        <f t="shared" si="19"/>
        <v>4.2277685868163016E-2</v>
      </c>
      <c r="Q101" s="30">
        <f t="shared" si="20"/>
        <v>2.6772575366352733E-2</v>
      </c>
    </row>
    <row r="102" spans="2:17" x14ac:dyDescent="0.3">
      <c r="B102" s="5">
        <v>99</v>
      </c>
      <c r="C102" s="3">
        <v>3.0290000000000001E-2</v>
      </c>
      <c r="D102" s="3">
        <v>4.0289999999999999E-2</v>
      </c>
      <c r="E102" s="3">
        <v>2.4230000000000002E-2</v>
      </c>
      <c r="G102" s="29">
        <f t="shared" si="12"/>
        <v>5.2120794400752797E-2</v>
      </c>
      <c r="H102">
        <f t="shared" si="13"/>
        <v>2.0031434320829222E-2</v>
      </c>
      <c r="I102" s="30">
        <f t="shared" si="14"/>
        <v>9.346483904860084E-2</v>
      </c>
      <c r="K102" s="29">
        <f t="shared" si="15"/>
        <v>0.96875579976700688</v>
      </c>
      <c r="L102">
        <f t="shared" si="16"/>
        <v>0.95946098269976632</v>
      </c>
      <c r="M102" s="30">
        <f t="shared" si="17"/>
        <v>0.97540946525314765</v>
      </c>
      <c r="O102" s="29">
        <f t="shared" si="18"/>
        <v>3.1742711476236293E-2</v>
      </c>
      <c r="P102">
        <f t="shared" si="19"/>
        <v>4.1383628561541229E-2</v>
      </c>
      <c r="Q102" s="30">
        <f t="shared" si="20"/>
        <v>2.4897931782437984E-2</v>
      </c>
    </row>
    <row r="103" spans="2:17" x14ac:dyDescent="0.3">
      <c r="B103" s="6">
        <v>100</v>
      </c>
      <c r="C103" s="4">
        <v>3.032E-2</v>
      </c>
      <c r="D103" s="4">
        <v>4.0320000000000002E-2</v>
      </c>
      <c r="E103" s="4">
        <v>2.426E-2</v>
      </c>
      <c r="G103" s="29">
        <f t="shared" si="12"/>
        <v>5.0441382461196456E-2</v>
      </c>
      <c r="H103">
        <f t="shared" si="13"/>
        <v>1.9200176383685097E-2</v>
      </c>
      <c r="I103" s="30">
        <f t="shared" si="14"/>
        <v>9.0986870430533523E-2</v>
      </c>
      <c r="K103" s="29">
        <f t="shared" si="15"/>
        <v>0.96777846617909402</v>
      </c>
      <c r="L103">
        <f t="shared" si="16"/>
        <v>0.9585023257031694</v>
      </c>
      <c r="M103" s="30">
        <f t="shared" si="17"/>
        <v>0.97348769180698214</v>
      </c>
      <c r="O103" s="29">
        <f t="shared" si="18"/>
        <v>3.2752075150379409E-2</v>
      </c>
      <c r="P103">
        <f t="shared" si="19"/>
        <v>4.2383290100665445E-2</v>
      </c>
      <c r="Q103" s="30">
        <f t="shared" si="20"/>
        <v>2.687009748865641E-2</v>
      </c>
    </row>
    <row r="104" spans="2:17" x14ac:dyDescent="0.3">
      <c r="B104" s="5">
        <v>101</v>
      </c>
      <c r="C104" s="3">
        <v>3.0349999999999999E-2</v>
      </c>
      <c r="D104" s="3">
        <v>4.0349999999999997E-2</v>
      </c>
      <c r="E104" s="3">
        <v>2.4279999999999999E-2</v>
      </c>
      <c r="G104" s="29">
        <f t="shared" si="12"/>
        <v>4.8813245199280215E-2</v>
      </c>
      <c r="H104">
        <f t="shared" si="13"/>
        <v>1.8402353869779422E-2</v>
      </c>
      <c r="I104" s="30">
        <f t="shared" si="14"/>
        <v>8.8656794902782818E-2</v>
      </c>
      <c r="K104" s="29">
        <f t="shared" si="15"/>
        <v>0.96772219192904296</v>
      </c>
      <c r="L104">
        <f t="shared" si="16"/>
        <v>0.9584471257991356</v>
      </c>
      <c r="M104" s="30">
        <f t="shared" si="17"/>
        <v>0.97439107954010062</v>
      </c>
      <c r="O104" s="29">
        <f t="shared" si="18"/>
        <v>3.281022470443011E-2</v>
      </c>
      <c r="P104">
        <f t="shared" si="19"/>
        <v>4.2440881503512086E-2</v>
      </c>
      <c r="Q104" s="30">
        <f t="shared" si="20"/>
        <v>2.5942536891787975E-2</v>
      </c>
    </row>
    <row r="105" spans="2:17" x14ac:dyDescent="0.3">
      <c r="B105" s="5">
        <v>102</v>
      </c>
      <c r="C105" s="3">
        <v>3.0370000000000001E-2</v>
      </c>
      <c r="D105" s="3">
        <v>4.0370000000000003E-2</v>
      </c>
      <c r="E105" s="3">
        <v>2.4299999999999999E-2</v>
      </c>
      <c r="G105" s="29">
        <f t="shared" si="12"/>
        <v>4.728169644073367E-2</v>
      </c>
      <c r="H105">
        <f t="shared" si="13"/>
        <v>1.7653967213716169E-2</v>
      </c>
      <c r="I105" s="30">
        <f t="shared" si="14"/>
        <v>8.6383019940234299E-2</v>
      </c>
      <c r="K105" s="29">
        <f t="shared" si="15"/>
        <v>0.96862432005301036</v>
      </c>
      <c r="L105">
        <f t="shared" si="16"/>
        <v>0.95933201473251406</v>
      </c>
      <c r="M105" s="30">
        <f t="shared" si="17"/>
        <v>0.97435306605611172</v>
      </c>
      <c r="O105" s="29">
        <f t="shared" si="18"/>
        <v>3.1878440869609628E-2</v>
      </c>
      <c r="P105">
        <f t="shared" si="19"/>
        <v>4.1518054700910141E-2</v>
      </c>
      <c r="Q105" s="30">
        <f t="shared" si="20"/>
        <v>2.5981550206162395E-2</v>
      </c>
    </row>
    <row r="106" spans="2:17" x14ac:dyDescent="0.3">
      <c r="B106" s="5">
        <v>103</v>
      </c>
      <c r="C106" s="3">
        <v>3.04E-2</v>
      </c>
      <c r="D106" s="3">
        <v>4.0399999999999998E-2</v>
      </c>
      <c r="E106" s="3">
        <v>2.4320000000000001E-2</v>
      </c>
      <c r="G106" s="29">
        <f t="shared" si="12"/>
        <v>4.5750668932180702E-2</v>
      </c>
      <c r="H106">
        <f t="shared" si="13"/>
        <v>1.6918607571602365E-2</v>
      </c>
      <c r="I106" s="30">
        <f t="shared" si="14"/>
        <v>8.4164276838649216E-2</v>
      </c>
      <c r="K106" s="29">
        <f t="shared" si="15"/>
        <v>0.96761902334718319</v>
      </c>
      <c r="L106">
        <f t="shared" si="16"/>
        <v>0.95834592682700404</v>
      </c>
      <c r="M106" s="30">
        <f t="shared" si="17"/>
        <v>0.97431505516801609</v>
      </c>
      <c r="O106" s="29">
        <f t="shared" si="18"/>
        <v>3.2916840097254027E-2</v>
      </c>
      <c r="P106">
        <f t="shared" si="19"/>
        <v>4.2546473468264824E-2</v>
      </c>
      <c r="Q106" s="30">
        <f t="shared" si="20"/>
        <v>2.6020562378308541E-2</v>
      </c>
    </row>
    <row r="107" spans="2:17" x14ac:dyDescent="0.3">
      <c r="B107" s="5">
        <v>104</v>
      </c>
      <c r="C107" s="3">
        <v>3.0419999999999999E-2</v>
      </c>
      <c r="D107" s="3">
        <v>4.0419999999999998E-2</v>
      </c>
      <c r="E107" s="3">
        <v>2.4340000000000001E-2</v>
      </c>
      <c r="G107" s="29">
        <f t="shared" si="12"/>
        <v>4.4311344277403505E-2</v>
      </c>
      <c r="H107">
        <f t="shared" si="13"/>
        <v>1.6229159437624069E-2</v>
      </c>
      <c r="I107" s="30">
        <f t="shared" si="14"/>
        <v>8.1999323090777926E-2</v>
      </c>
      <c r="K107" s="29">
        <f t="shared" si="15"/>
        <v>0.96853981180229731</v>
      </c>
      <c r="L107">
        <f t="shared" si="16"/>
        <v>0.95924912076478885</v>
      </c>
      <c r="M107" s="30">
        <f t="shared" si="17"/>
        <v>0.97427704687557992</v>
      </c>
      <c r="O107" s="29">
        <f t="shared" si="18"/>
        <v>3.1965690317786968E-2</v>
      </c>
      <c r="P107">
        <f t="shared" si="19"/>
        <v>4.1604466441589855E-2</v>
      </c>
      <c r="Q107" s="30">
        <f t="shared" si="20"/>
        <v>2.6059573408273327E-2</v>
      </c>
    </row>
    <row r="108" spans="2:17" x14ac:dyDescent="0.3">
      <c r="B108" s="6">
        <v>105</v>
      </c>
      <c r="C108" s="4">
        <v>3.0450000000000001E-2</v>
      </c>
      <c r="D108" s="4">
        <v>4.045E-2</v>
      </c>
      <c r="E108" s="4">
        <v>2.436E-2</v>
      </c>
      <c r="G108" s="29">
        <f t="shared" si="12"/>
        <v>4.2871928964354537E-2</v>
      </c>
      <c r="H108">
        <f t="shared" si="13"/>
        <v>1.5551506763943212E-2</v>
      </c>
      <c r="I108" s="30">
        <f t="shared" si="14"/>
        <v>7.9886941905253833E-2</v>
      </c>
      <c r="K108" s="29">
        <f t="shared" si="15"/>
        <v>0.96751587349646273</v>
      </c>
      <c r="L108">
        <f t="shared" si="16"/>
        <v>0.95824474605198262</v>
      </c>
      <c r="M108" s="30">
        <f t="shared" si="17"/>
        <v>0.97423904117860138</v>
      </c>
      <c r="O108" s="29">
        <f t="shared" si="18"/>
        <v>3.3023447498098692E-2</v>
      </c>
      <c r="P108">
        <f t="shared" si="19"/>
        <v>4.2652057593813575E-2</v>
      </c>
      <c r="Q108" s="30">
        <f t="shared" si="20"/>
        <v>2.6098583296070878E-2</v>
      </c>
    </row>
    <row r="109" spans="2:17" x14ac:dyDescent="0.3">
      <c r="B109" s="5">
        <v>106</v>
      </c>
      <c r="C109" s="3">
        <v>3.0470000000000001E-2</v>
      </c>
      <c r="D109" s="3">
        <v>4.0469999999999999E-2</v>
      </c>
      <c r="E109" s="3">
        <v>2.4379999999999999E-2</v>
      </c>
      <c r="G109" s="29">
        <f t="shared" si="12"/>
        <v>4.1519547548899402E-2</v>
      </c>
      <c r="H109">
        <f t="shared" si="13"/>
        <v>1.4916480264606E-2</v>
      </c>
      <c r="I109" s="30">
        <f t="shared" si="14"/>
        <v>7.7825941732875395E-2</v>
      </c>
      <c r="K109" s="29">
        <f t="shared" si="15"/>
        <v>0.9684553168442791</v>
      </c>
      <c r="L109">
        <f t="shared" si="16"/>
        <v>0.9591662397106403</v>
      </c>
      <c r="M109" s="30">
        <f t="shared" si="17"/>
        <v>0.97420103807675118</v>
      </c>
      <c r="O109" s="29">
        <f t="shared" si="18"/>
        <v>3.2052933653428026E-2</v>
      </c>
      <c r="P109">
        <f t="shared" si="19"/>
        <v>4.1690872186568438E-2</v>
      </c>
      <c r="Q109" s="30">
        <f t="shared" si="20"/>
        <v>2.6137592041846163E-2</v>
      </c>
    </row>
    <row r="110" spans="2:17" x14ac:dyDescent="0.3">
      <c r="B110" s="5">
        <v>107</v>
      </c>
      <c r="C110" s="3">
        <v>3.0499999999999999E-2</v>
      </c>
      <c r="D110" s="3">
        <v>4.0500000000000001E-2</v>
      </c>
      <c r="E110" s="3">
        <v>2.4400000000000002E-2</v>
      </c>
      <c r="G110" s="29">
        <f t="shared" si="12"/>
        <v>4.0166539356338508E-2</v>
      </c>
      <c r="H110">
        <f t="shared" si="13"/>
        <v>1.4292129853484501E-2</v>
      </c>
      <c r="I110" s="30">
        <f t="shared" si="14"/>
        <v>7.5815155800235096E-2</v>
      </c>
      <c r="K110" s="29">
        <f t="shared" si="15"/>
        <v>0.96741274237231523</v>
      </c>
      <c r="L110">
        <f t="shared" si="16"/>
        <v>0.95814358346968986</v>
      </c>
      <c r="M110" s="30">
        <f t="shared" si="17"/>
        <v>0.97416303756988909</v>
      </c>
      <c r="O110" s="29">
        <f t="shared" si="18"/>
        <v>3.3130046907916051E-2</v>
      </c>
      <c r="P110">
        <f t="shared" si="19"/>
        <v>4.2757633881070525E-2</v>
      </c>
      <c r="Q110" s="30">
        <f t="shared" si="20"/>
        <v>2.6176599645550101E-2</v>
      </c>
    </row>
    <row r="111" spans="2:17" x14ac:dyDescent="0.3">
      <c r="B111" s="5">
        <v>108</v>
      </c>
      <c r="C111" s="3">
        <v>3.0519999999999999E-2</v>
      </c>
      <c r="D111" s="3">
        <v>4.052E-2</v>
      </c>
      <c r="E111" s="3">
        <v>2.4420000000000001E-2</v>
      </c>
      <c r="G111" s="29">
        <f t="shared" si="12"/>
        <v>3.889610526262665E-2</v>
      </c>
      <c r="H111">
        <f t="shared" si="13"/>
        <v>1.3707344086756326E-2</v>
      </c>
      <c r="I111" s="30">
        <f t="shared" si="14"/>
        <v>7.3853441650555296E-2</v>
      </c>
      <c r="K111" s="29">
        <f t="shared" si="15"/>
        <v>0.96837083517598643</v>
      </c>
      <c r="L111">
        <f t="shared" si="16"/>
        <v>0.95908337156721246</v>
      </c>
      <c r="M111" s="30">
        <f t="shared" si="17"/>
        <v>0.97412503965765485</v>
      </c>
      <c r="O111" s="29">
        <f t="shared" si="18"/>
        <v>3.2140170877334909E-2</v>
      </c>
      <c r="P111">
        <f t="shared" si="19"/>
        <v>4.1777271936624095E-2</v>
      </c>
      <c r="Q111" s="30">
        <f t="shared" si="20"/>
        <v>2.6215606107359523E-2</v>
      </c>
    </row>
    <row r="112" spans="2:17" x14ac:dyDescent="0.3">
      <c r="B112" s="5">
        <v>109</v>
      </c>
      <c r="C112" s="3">
        <v>3.0540000000000001E-2</v>
      </c>
      <c r="D112" s="3">
        <v>4.054E-2</v>
      </c>
      <c r="E112" s="3">
        <v>2.443E-2</v>
      </c>
      <c r="G112" s="29">
        <f t="shared" si="12"/>
        <v>3.7664393485284234E-2</v>
      </c>
      <c r="H112">
        <f t="shared" si="13"/>
        <v>1.3145980934830631E-2</v>
      </c>
      <c r="I112" s="30">
        <f t="shared" si="14"/>
        <v>7.2016265329280876E-2</v>
      </c>
      <c r="K112" s="29">
        <f t="shared" si="15"/>
        <v>0.96833328763828941</v>
      </c>
      <c r="L112">
        <f t="shared" si="16"/>
        <v>0.95904654115540378</v>
      </c>
      <c r="M112" s="30">
        <f t="shared" si="17"/>
        <v>0.9751240256348892</v>
      </c>
      <c r="O112" s="29">
        <f t="shared" si="18"/>
        <v>3.2178945553610359E-2</v>
      </c>
      <c r="P112">
        <f t="shared" si="19"/>
        <v>4.1815674353028659E-2</v>
      </c>
      <c r="Q112" s="30">
        <f t="shared" si="20"/>
        <v>2.5190610294885434E-2</v>
      </c>
    </row>
    <row r="113" spans="2:17" x14ac:dyDescent="0.3">
      <c r="B113" s="6">
        <v>110</v>
      </c>
      <c r="C113" s="4">
        <v>3.056E-2</v>
      </c>
      <c r="D113" s="4">
        <v>4.0559999999999999E-2</v>
      </c>
      <c r="E113" s="4">
        <v>2.445E-2</v>
      </c>
      <c r="G113" s="29">
        <f t="shared" si="12"/>
        <v>3.6470271861258799E-2</v>
      </c>
      <c r="H113">
        <f t="shared" si="13"/>
        <v>1.2607123406299891E-2</v>
      </c>
      <c r="I113" s="30">
        <f t="shared" si="14"/>
        <v>7.014805821986593E-2</v>
      </c>
      <c r="K113" s="29">
        <f t="shared" si="15"/>
        <v>0.96829574264903573</v>
      </c>
      <c r="L113">
        <f t="shared" si="16"/>
        <v>0.9590097132194203</v>
      </c>
      <c r="M113" s="30">
        <f t="shared" si="17"/>
        <v>0.97405853940255138</v>
      </c>
      <c r="O113" s="29">
        <f t="shared" si="18"/>
        <v>3.2217719101534315E-2</v>
      </c>
      <c r="P113">
        <f t="shared" si="19"/>
        <v>4.1854075662587753E-2</v>
      </c>
      <c r="Q113" s="30">
        <f t="shared" si="20"/>
        <v>2.6283875089650577E-2</v>
      </c>
    </row>
    <row r="114" spans="2:17" x14ac:dyDescent="0.3">
      <c r="B114" s="5">
        <v>111</v>
      </c>
      <c r="C114" s="3">
        <v>3.0589999999999999E-2</v>
      </c>
      <c r="D114" s="3">
        <v>4.0590000000000001E-2</v>
      </c>
      <c r="E114" s="3">
        <v>2.4469999999999999E-2</v>
      </c>
      <c r="G114" s="29">
        <f t="shared" si="12"/>
        <v>3.5274626501020943E-2</v>
      </c>
      <c r="H114">
        <f t="shared" si="13"/>
        <v>1.2077000037268226E-2</v>
      </c>
      <c r="I114" s="30">
        <f t="shared" si="14"/>
        <v>6.832565014580165E-2</v>
      </c>
      <c r="K114" s="29">
        <f t="shared" si="15"/>
        <v>0.96721589121171447</v>
      </c>
      <c r="L114">
        <f t="shared" si="16"/>
        <v>0.95795048942197569</v>
      </c>
      <c r="M114" s="30">
        <f t="shared" si="17"/>
        <v>0.97402054853247277</v>
      </c>
      <c r="O114" s="29">
        <f t="shared" si="18"/>
        <v>3.3333549696888454E-2</v>
      </c>
      <c r="P114">
        <f t="shared" si="19"/>
        <v>4.2959183534711926E-2</v>
      </c>
      <c r="Q114" s="30">
        <f t="shared" si="20"/>
        <v>2.6322878506214835E-2</v>
      </c>
    </row>
    <row r="115" spans="2:17" x14ac:dyDescent="0.3">
      <c r="B115" s="5">
        <v>112</v>
      </c>
      <c r="C115" s="3">
        <v>3.0609999999999998E-2</v>
      </c>
      <c r="D115" s="3">
        <v>4.061E-2</v>
      </c>
      <c r="E115" s="3">
        <v>2.4490000000000001E-2</v>
      </c>
      <c r="G115" s="29">
        <f t="shared" si="12"/>
        <v>3.4153291484730432E-2</v>
      </c>
      <c r="H115">
        <f t="shared" si="13"/>
        <v>1.15809598362655E-2</v>
      </c>
      <c r="I115" s="30">
        <f t="shared" si="14"/>
        <v>6.6547991660173625E-2</v>
      </c>
      <c r="K115" s="29">
        <f t="shared" si="15"/>
        <v>0.96821128591515893</v>
      </c>
      <c r="L115">
        <f t="shared" si="16"/>
        <v>0.95892686929932902</v>
      </c>
      <c r="M115" s="30">
        <f t="shared" si="17"/>
        <v>0.97398256025614627</v>
      </c>
      <c r="O115" s="29">
        <f t="shared" si="18"/>
        <v>3.2304944949604661E-2</v>
      </c>
      <c r="P115">
        <f t="shared" si="19"/>
        <v>4.1940464254262677E-2</v>
      </c>
      <c r="Q115" s="30">
        <f t="shared" si="20"/>
        <v>2.6361880781067409E-2</v>
      </c>
    </row>
    <row r="116" spans="2:17" x14ac:dyDescent="0.3">
      <c r="B116" s="5">
        <v>113</v>
      </c>
      <c r="C116" s="3">
        <v>3.0630000000000001E-2</v>
      </c>
      <c r="D116" s="3">
        <v>4.0629999999999999E-2</v>
      </c>
      <c r="E116" s="3">
        <v>2.4500000000000001E-2</v>
      </c>
      <c r="G116" s="29">
        <f t="shared" si="12"/>
        <v>3.3066320267608612E-2</v>
      </c>
      <c r="H116">
        <f t="shared" si="13"/>
        <v>1.1104867150605659E-2</v>
      </c>
      <c r="I116" s="30">
        <f t="shared" si="14"/>
        <v>6.4885582932870417E-2</v>
      </c>
      <c r="K116" s="29">
        <f t="shared" si="15"/>
        <v>0.96817374929711264</v>
      </c>
      <c r="L116">
        <f t="shared" si="16"/>
        <v>0.95889004949581402</v>
      </c>
      <c r="M116" s="30">
        <f t="shared" si="17"/>
        <v>0.97501940049833102</v>
      </c>
      <c r="O116" s="29">
        <f t="shared" si="18"/>
        <v>3.234371473698517E-2</v>
      </c>
      <c r="P116">
        <f t="shared" si="19"/>
        <v>4.1978861875181205E-2</v>
      </c>
      <c r="Q116" s="30">
        <f t="shared" si="20"/>
        <v>2.5297910235245219E-2</v>
      </c>
    </row>
    <row r="117" spans="2:17" x14ac:dyDescent="0.3">
      <c r="B117" s="5">
        <v>114</v>
      </c>
      <c r="C117" s="3">
        <v>3.065E-2</v>
      </c>
      <c r="D117" s="3">
        <v>4.0649999999999999E-2</v>
      </c>
      <c r="E117" s="3">
        <v>2.452E-2</v>
      </c>
      <c r="G117" s="29">
        <f t="shared" si="12"/>
        <v>3.2012702155347759E-2</v>
      </c>
      <c r="H117">
        <f t="shared" si="13"/>
        <v>1.0647937760143571E-2</v>
      </c>
      <c r="I117" s="30">
        <f t="shared" si="14"/>
        <v>6.3193112350965155E-2</v>
      </c>
      <c r="K117" s="29">
        <f t="shared" si="15"/>
        <v>0.968136215226435</v>
      </c>
      <c r="L117">
        <f t="shared" si="16"/>
        <v>0.95885323216701723</v>
      </c>
      <c r="M117" s="30">
        <f t="shared" si="17"/>
        <v>0.97391607649335188</v>
      </c>
      <c r="O117" s="29">
        <f t="shared" si="18"/>
        <v>3.2382483396311439E-2</v>
      </c>
      <c r="P117">
        <f t="shared" si="19"/>
        <v>4.2017258389619144E-2</v>
      </c>
      <c r="Q117" s="30">
        <f t="shared" si="20"/>
        <v>2.643014281643815E-2</v>
      </c>
    </row>
    <row r="118" spans="2:17" x14ac:dyDescent="0.3">
      <c r="B118" s="6">
        <v>115</v>
      </c>
      <c r="C118" s="4">
        <v>3.0669999999999999E-2</v>
      </c>
      <c r="D118" s="4">
        <v>4.0669999999999998E-2</v>
      </c>
      <c r="E118" s="4">
        <v>2.4539999999999999E-2</v>
      </c>
      <c r="G118" s="29">
        <f t="shared" si="12"/>
        <v>3.0991454818367761E-2</v>
      </c>
      <c r="H118">
        <f t="shared" si="13"/>
        <v>1.020941753495099E-2</v>
      </c>
      <c r="I118" s="30">
        <f t="shared" si="14"/>
        <v>6.1542387889701615E-2</v>
      </c>
      <c r="K118" s="29">
        <f t="shared" si="15"/>
        <v>0.96809868370298136</v>
      </c>
      <c r="L118">
        <f t="shared" si="16"/>
        <v>0.95881641731284228</v>
      </c>
      <c r="M118" s="30">
        <f t="shared" si="17"/>
        <v>0.9738780952567162</v>
      </c>
      <c r="O118" s="29">
        <f t="shared" si="18"/>
        <v>3.2421250927543416E-2</v>
      </c>
      <c r="P118">
        <f t="shared" si="19"/>
        <v>4.2055653797492924E-2</v>
      </c>
      <c r="Q118" s="30">
        <f t="shared" si="20"/>
        <v>2.6469142046635415E-2</v>
      </c>
    </row>
    <row r="119" spans="2:17" x14ac:dyDescent="0.3">
      <c r="B119" s="5">
        <v>116</v>
      </c>
      <c r="C119" s="3">
        <v>3.0689999999999999E-2</v>
      </c>
      <c r="D119" s="3">
        <v>4.0689999999999997E-2</v>
      </c>
      <c r="E119" s="3">
        <v>2.4549999999999999E-2</v>
      </c>
      <c r="G119" s="29">
        <f t="shared" si="12"/>
        <v>3.0001623538121202E-2</v>
      </c>
      <c r="H119">
        <f t="shared" si="13"/>
        <v>9.7885813107559966E-3</v>
      </c>
      <c r="I119" s="30">
        <f t="shared" si="14"/>
        <v>6.0000340073662582E-2</v>
      </c>
      <c r="K119" s="29">
        <f t="shared" si="15"/>
        <v>0.96806115472643406</v>
      </c>
      <c r="L119">
        <f t="shared" si="16"/>
        <v>0.9587796049329651</v>
      </c>
      <c r="M119" s="30">
        <f t="shared" si="17"/>
        <v>0.97494332168581521</v>
      </c>
      <c r="O119" s="29">
        <f t="shared" si="18"/>
        <v>3.2460017330819754E-2</v>
      </c>
      <c r="P119">
        <f t="shared" si="19"/>
        <v>4.209404809895647E-2</v>
      </c>
      <c r="Q119" s="30">
        <f t="shared" si="20"/>
        <v>2.5375941278289158E-2</v>
      </c>
    </row>
    <row r="120" spans="2:17" x14ac:dyDescent="0.3">
      <c r="B120" s="5">
        <v>117</v>
      </c>
      <c r="C120" s="3">
        <v>3.0710000000000001E-2</v>
      </c>
      <c r="D120" s="3">
        <v>4.0710000000000003E-2</v>
      </c>
      <c r="E120" s="3">
        <v>2.4570000000000002E-2</v>
      </c>
      <c r="G120" s="29">
        <f t="shared" si="12"/>
        <v>2.904228047216148E-2</v>
      </c>
      <c r="H120">
        <f t="shared" si="13"/>
        <v>9.3847318052246217E-3</v>
      </c>
      <c r="I120" s="30">
        <f t="shared" si="14"/>
        <v>5.8429028579822039E-2</v>
      </c>
      <c r="K120" s="29">
        <f t="shared" si="15"/>
        <v>0.96802362829662392</v>
      </c>
      <c r="L120">
        <f t="shared" si="16"/>
        <v>0.95874279502713922</v>
      </c>
      <c r="M120" s="30">
        <f t="shared" si="17"/>
        <v>0.97381162353560924</v>
      </c>
      <c r="O120" s="29">
        <f t="shared" si="18"/>
        <v>3.2498782606125771E-2</v>
      </c>
      <c r="P120">
        <f t="shared" si="19"/>
        <v>4.213244129408282E-2</v>
      </c>
      <c r="Q120" s="30">
        <f t="shared" si="20"/>
        <v>2.6537399039000698E-2</v>
      </c>
    </row>
    <row r="121" spans="2:17" x14ac:dyDescent="0.3">
      <c r="B121" s="5">
        <v>118</v>
      </c>
      <c r="C121" s="3">
        <v>3.073E-2</v>
      </c>
      <c r="D121" s="3">
        <v>4.0730000000000002E-2</v>
      </c>
      <c r="E121" s="3">
        <v>2.4580000000000001E-2</v>
      </c>
      <c r="G121" s="29">
        <f t="shared" si="12"/>
        <v>2.8112523937525342E-2</v>
      </c>
      <c r="H121">
        <f t="shared" si="13"/>
        <v>8.9971985736442099E-3</v>
      </c>
      <c r="I121" s="30">
        <f t="shared" si="14"/>
        <v>5.696221319743338E-2</v>
      </c>
      <c r="K121" s="29">
        <f t="shared" si="15"/>
        <v>0.96798610441327582</v>
      </c>
      <c r="L121">
        <f t="shared" si="16"/>
        <v>0.95870598759522718</v>
      </c>
      <c r="M121" s="30">
        <f t="shared" si="17"/>
        <v>0.97489577667058436</v>
      </c>
      <c r="O121" s="29">
        <f t="shared" si="18"/>
        <v>3.2537546753556246E-2</v>
      </c>
      <c r="P121">
        <f t="shared" si="19"/>
        <v>4.2170833382831306E-2</v>
      </c>
      <c r="Q121" s="30">
        <f t="shared" si="20"/>
        <v>2.5424709420522388E-2</v>
      </c>
    </row>
    <row r="122" spans="2:17" x14ac:dyDescent="0.3">
      <c r="B122" s="5">
        <v>119</v>
      </c>
      <c r="C122" s="3">
        <v>3.075E-2</v>
      </c>
      <c r="D122" s="3">
        <v>4.0750000000000001E-2</v>
      </c>
      <c r="E122" s="3">
        <v>2.46E-2</v>
      </c>
      <c r="G122" s="29">
        <f t="shared" si="12"/>
        <v>2.7211477712021016E-2</v>
      </c>
      <c r="H122">
        <f t="shared" si="13"/>
        <v>8.6253370026175141E-3</v>
      </c>
      <c r="I122" s="30">
        <f t="shared" si="14"/>
        <v>5.5466679370216522E-2</v>
      </c>
      <c r="K122" s="29">
        <f t="shared" si="15"/>
        <v>0.96794858307611487</v>
      </c>
      <c r="L122">
        <f t="shared" si="16"/>
        <v>0.95866918263691525</v>
      </c>
      <c r="M122" s="30">
        <f t="shared" si="17"/>
        <v>0.97374515940886508</v>
      </c>
      <c r="O122" s="29">
        <f t="shared" si="18"/>
        <v>3.257630977320574E-2</v>
      </c>
      <c r="P122">
        <f t="shared" si="19"/>
        <v>4.2209224365345174E-2</v>
      </c>
      <c r="Q122" s="30">
        <f t="shared" si="20"/>
        <v>2.660565289157333E-2</v>
      </c>
    </row>
    <row r="123" spans="2:17" x14ac:dyDescent="0.3">
      <c r="B123" s="6">
        <v>120</v>
      </c>
      <c r="C123" s="4">
        <v>3.0769999999999999E-2</v>
      </c>
      <c r="D123" s="4">
        <v>4.0770000000000001E-2</v>
      </c>
      <c r="E123" s="4">
        <v>2.462E-2</v>
      </c>
      <c r="G123" s="29">
        <f t="shared" si="12"/>
        <v>2.6338290353009483E-2</v>
      </c>
      <c r="H123">
        <f t="shared" si="13"/>
        <v>8.2685273404324664E-3</v>
      </c>
      <c r="I123" s="30">
        <f t="shared" si="14"/>
        <v>5.4008304489033827E-2</v>
      </c>
      <c r="K123" s="29">
        <f t="shared" si="15"/>
        <v>0.96791106428498763</v>
      </c>
      <c r="L123">
        <f t="shared" si="16"/>
        <v>0.95863238015201402</v>
      </c>
      <c r="M123" s="30">
        <f t="shared" si="17"/>
        <v>0.97370718965437497</v>
      </c>
      <c r="O123" s="29">
        <f t="shared" si="18"/>
        <v>3.2615071665043384E-2</v>
      </c>
      <c r="P123">
        <f t="shared" si="19"/>
        <v>4.2247614241637997E-2</v>
      </c>
      <c r="Q123" s="30">
        <f t="shared" si="20"/>
        <v>2.6644647175067027E-2</v>
      </c>
    </row>
    <row r="124" spans="2:17" x14ac:dyDescent="0.3">
      <c r="B124" s="5">
        <v>121</v>
      </c>
      <c r="C124" s="3">
        <v>3.0790000000000001E-2</v>
      </c>
      <c r="D124" s="3">
        <v>4.079E-2</v>
      </c>
      <c r="E124" s="3">
        <v>2.4629999999999999E-2</v>
      </c>
      <c r="G124" s="29">
        <f t="shared" si="12"/>
        <v>2.5492134533263253E-2</v>
      </c>
      <c r="H124">
        <f t="shared" si="13"/>
        <v>7.9261737628074647E-3</v>
      </c>
      <c r="I124" s="30">
        <f t="shared" si="14"/>
        <v>5.2648360030717628E-2</v>
      </c>
      <c r="K124" s="29">
        <f t="shared" si="15"/>
        <v>0.96787354803955428</v>
      </c>
      <c r="L124">
        <f t="shared" si="16"/>
        <v>0.95859558014026036</v>
      </c>
      <c r="M124" s="30">
        <f t="shared" si="17"/>
        <v>0.97481971576070614</v>
      </c>
      <c r="O124" s="29">
        <f t="shared" si="18"/>
        <v>3.2653832429230881E-2</v>
      </c>
      <c r="P124">
        <f t="shared" si="19"/>
        <v>4.2286003011800272E-2</v>
      </c>
      <c r="Q124" s="30">
        <f t="shared" si="20"/>
        <v>2.5502731993776864E-2</v>
      </c>
    </row>
    <row r="125" spans="2:17" x14ac:dyDescent="0.3">
      <c r="B125" s="5">
        <v>122</v>
      </c>
      <c r="C125" s="3">
        <v>3.0800000000000001E-2</v>
      </c>
      <c r="D125" s="3">
        <v>4.0800000000000003E-2</v>
      </c>
      <c r="E125" s="3">
        <v>2.4639999999999999E-2</v>
      </c>
      <c r="G125" s="29">
        <f t="shared" si="12"/>
        <v>2.4701424248675347E-2</v>
      </c>
      <c r="H125">
        <f t="shared" si="13"/>
        <v>7.6066144915398403E-3</v>
      </c>
      <c r="I125" s="30">
        <f t="shared" si="14"/>
        <v>5.1321658182321095E-2</v>
      </c>
      <c r="K125" s="29">
        <f t="shared" si="15"/>
        <v>0.96898218611092957</v>
      </c>
      <c r="L125">
        <f t="shared" si="16"/>
        <v>0.95968303486265794</v>
      </c>
      <c r="M125" s="30">
        <f t="shared" si="17"/>
        <v>0.97480069944016356</v>
      </c>
      <c r="O125" s="29">
        <f t="shared" si="18"/>
        <v>3.1509051046805091E-2</v>
      </c>
      <c r="P125">
        <f t="shared" si="19"/>
        <v>4.115222105710125E-2</v>
      </c>
      <c r="Q125" s="30">
        <f t="shared" si="20"/>
        <v>2.5522239709632636E-2</v>
      </c>
    </row>
    <row r="126" spans="2:17" x14ac:dyDescent="0.3">
      <c r="B126" s="5">
        <v>123</v>
      </c>
      <c r="C126" s="3">
        <v>3.082E-2</v>
      </c>
      <c r="D126" s="3">
        <v>4.0820000000000002E-2</v>
      </c>
      <c r="E126" s="3">
        <v>2.4660000000000001E-2</v>
      </c>
      <c r="G126" s="29">
        <f t="shared" si="12"/>
        <v>2.39062332719523E-2</v>
      </c>
      <c r="H126">
        <f t="shared" si="13"/>
        <v>7.2911771281880516E-3</v>
      </c>
      <c r="I126" s="30">
        <f t="shared" si="14"/>
        <v>4.9967395298507057E-2</v>
      </c>
      <c r="K126" s="29">
        <f t="shared" si="15"/>
        <v>0.96780788958897013</v>
      </c>
      <c r="L126">
        <f t="shared" si="16"/>
        <v>0.95853117524193954</v>
      </c>
      <c r="M126" s="30">
        <f t="shared" si="17"/>
        <v>0.97361225393374873</v>
      </c>
      <c r="O126" s="29">
        <f t="shared" si="18"/>
        <v>3.2721672570002983E-2</v>
      </c>
      <c r="P126">
        <f t="shared" si="19"/>
        <v>4.2353191994651034E-2</v>
      </c>
      <c r="Q126" s="30">
        <f t="shared" si="20"/>
        <v>2.674215117834091E-2</v>
      </c>
    </row>
    <row r="127" spans="2:17" x14ac:dyDescent="0.3">
      <c r="B127" s="5">
        <v>124</v>
      </c>
      <c r="C127" s="3">
        <v>3.0839999999999999E-2</v>
      </c>
      <c r="D127" s="3">
        <v>4.0840000000000001E-2</v>
      </c>
      <c r="E127" s="3">
        <v>2.4670000000000001E-2</v>
      </c>
      <c r="G127" s="29">
        <f t="shared" si="12"/>
        <v>2.3135744464012818E-2</v>
      </c>
      <c r="H127">
        <f t="shared" si="13"/>
        <v>6.9885523151166735E-3</v>
      </c>
      <c r="I127" s="30">
        <f t="shared" si="14"/>
        <v>4.870587682514825E-2</v>
      </c>
      <c r="K127" s="29">
        <f t="shared" si="15"/>
        <v>0.96777038025294226</v>
      </c>
      <c r="L127">
        <f t="shared" si="16"/>
        <v>0.95849438194260628</v>
      </c>
      <c r="M127" s="30">
        <f t="shared" si="17"/>
        <v>0.97475316722389771</v>
      </c>
      <c r="O127" s="29">
        <f t="shared" si="18"/>
        <v>3.2760430326914176E-2</v>
      </c>
      <c r="P127">
        <f t="shared" si="19"/>
        <v>4.2391577815017262E-2</v>
      </c>
      <c r="Q127" s="30">
        <f t="shared" si="20"/>
        <v>2.5571001856796702E-2</v>
      </c>
    </row>
    <row r="128" spans="2:17" x14ac:dyDescent="0.3">
      <c r="B128" s="6">
        <v>125</v>
      </c>
      <c r="C128" s="4">
        <v>3.0859999999999999E-2</v>
      </c>
      <c r="D128" s="4">
        <v>4.086E-2</v>
      </c>
      <c r="E128" s="4">
        <v>2.469E-2</v>
      </c>
      <c r="G128" s="29">
        <f t="shared" si="12"/>
        <v>2.2389220469835148E-2</v>
      </c>
      <c r="H128">
        <f t="shared" si="13"/>
        <v>6.6982310173318085E-3</v>
      </c>
      <c r="I128" s="30">
        <f t="shared" si="14"/>
        <v>4.7417402431304261E-2</v>
      </c>
      <c r="K128" s="29">
        <f t="shared" si="15"/>
        <v>0.96773287346171755</v>
      </c>
      <c r="L128">
        <f t="shared" si="16"/>
        <v>0.95845759111556161</v>
      </c>
      <c r="M128" s="30">
        <f t="shared" si="17"/>
        <v>0.97354581258295481</v>
      </c>
      <c r="O128" s="29">
        <f t="shared" si="18"/>
        <v>3.2799186956392765E-2</v>
      </c>
      <c r="P128">
        <f t="shared" si="19"/>
        <v>4.2429962529466299E-2</v>
      </c>
      <c r="Q128" s="30">
        <f t="shared" si="20"/>
        <v>2.6810395613101737E-2</v>
      </c>
    </row>
    <row r="129" spans="2:17" x14ac:dyDescent="0.3">
      <c r="B129" s="5">
        <v>126</v>
      </c>
      <c r="C129" s="3">
        <v>3.0870000000000002E-2</v>
      </c>
      <c r="D129" s="3">
        <v>4.0869999999999997E-2</v>
      </c>
      <c r="E129" s="3">
        <v>2.47E-2</v>
      </c>
      <c r="G129" s="29">
        <f t="shared" si="12"/>
        <v>2.1692442634368141E-2</v>
      </c>
      <c r="H129">
        <f t="shared" si="13"/>
        <v>6.4274998584081151E-3</v>
      </c>
      <c r="I129" s="30">
        <f t="shared" si="14"/>
        <v>4.6218009549464041E-2</v>
      </c>
      <c r="K129" s="29">
        <f t="shared" si="15"/>
        <v>0.96887887023999908</v>
      </c>
      <c r="L129">
        <f t="shared" si="16"/>
        <v>0.95958169280468664</v>
      </c>
      <c r="M129" s="30">
        <f t="shared" si="17"/>
        <v>0.97470563927288434</v>
      </c>
      <c r="O129" s="29">
        <f t="shared" si="18"/>
        <v>3.1615679817417697E-2</v>
      </c>
      <c r="P129">
        <f t="shared" si="19"/>
        <v>4.1257826142845365E-2</v>
      </c>
      <c r="Q129" s="30">
        <f t="shared" si="20"/>
        <v>2.5619762005884641E-2</v>
      </c>
    </row>
    <row r="130" spans="2:17" x14ac:dyDescent="0.3">
      <c r="B130" s="5">
        <v>127</v>
      </c>
      <c r="C130" s="3">
        <v>3.0890000000000001E-2</v>
      </c>
      <c r="D130" s="3">
        <v>4.0890000000000003E-2</v>
      </c>
      <c r="E130" s="3">
        <v>2.4709999999999999E-2</v>
      </c>
      <c r="G130" s="29">
        <f t="shared" si="12"/>
        <v>2.0991065901807205E-2</v>
      </c>
      <c r="H130">
        <f t="shared" si="13"/>
        <v>6.1600721697530579E-3</v>
      </c>
      <c r="I130" s="30">
        <f t="shared" si="14"/>
        <v>4.5048075831645204E-2</v>
      </c>
      <c r="K130" s="29">
        <f t="shared" si="15"/>
        <v>0.96766723119277875</v>
      </c>
      <c r="L130">
        <f t="shared" si="16"/>
        <v>0.95839320193757416</v>
      </c>
      <c r="M130" s="30">
        <f t="shared" si="17"/>
        <v>0.97468662693994346</v>
      </c>
      <c r="O130" s="29">
        <f t="shared" si="18"/>
        <v>3.2867020236763161E-2</v>
      </c>
      <c r="P130">
        <f t="shared" si="19"/>
        <v>4.2497144783030356E-2</v>
      </c>
      <c r="Q130" s="30">
        <f t="shared" si="20"/>
        <v>2.5639267913721672E-2</v>
      </c>
    </row>
    <row r="131" spans="2:17" x14ac:dyDescent="0.3">
      <c r="B131" s="5">
        <v>128</v>
      </c>
      <c r="C131" s="3">
        <v>3.091E-2</v>
      </c>
      <c r="D131" s="3">
        <v>4.0910000000000002E-2</v>
      </c>
      <c r="E131" s="3">
        <v>2.4729999999999999E-2</v>
      </c>
      <c r="G131" s="29">
        <f t="shared" si="12"/>
        <v>2.0311579458446423E-2</v>
      </c>
      <c r="H131">
        <f t="shared" si="13"/>
        <v>5.9035446981210689E-3</v>
      </c>
      <c r="I131" s="30">
        <f t="shared" si="14"/>
        <v>4.3852090086934623E-2</v>
      </c>
      <c r="K131" s="29">
        <f t="shared" si="15"/>
        <v>0.96762973130858099</v>
      </c>
      <c r="L131">
        <f t="shared" si="16"/>
        <v>0.95835641782062553</v>
      </c>
      <c r="M131" s="30">
        <f t="shared" si="17"/>
        <v>0.9734509027826127</v>
      </c>
      <c r="O131" s="29">
        <f t="shared" si="18"/>
        <v>3.290577385951881E-2</v>
      </c>
      <c r="P131">
        <f t="shared" si="19"/>
        <v>4.253552654825829E-2</v>
      </c>
      <c r="Q131" s="30">
        <f t="shared" si="20"/>
        <v>2.690788915242644E-2</v>
      </c>
    </row>
    <row r="132" spans="2:17" x14ac:dyDescent="0.3">
      <c r="B132" s="5">
        <v>129</v>
      </c>
      <c r="C132" s="3">
        <v>3.092E-2</v>
      </c>
      <c r="D132" s="3">
        <v>4.0919999999999998E-2</v>
      </c>
      <c r="E132" s="3">
        <v>2.4740000000000002E-2</v>
      </c>
      <c r="G132" s="29">
        <f t="shared" si="12"/>
        <v>1.967793421137452E-2</v>
      </c>
      <c r="H132">
        <f t="shared" si="13"/>
        <v>5.6644983721782964E-3</v>
      </c>
      <c r="I132" s="30">
        <f t="shared" si="14"/>
        <v>4.2739961831307446E-2</v>
      </c>
      <c r="K132" s="29">
        <f t="shared" si="15"/>
        <v>0.96880374328504493</v>
      </c>
      <c r="L132">
        <f t="shared" si="16"/>
        <v>0.95950800101185751</v>
      </c>
      <c r="M132" s="30">
        <f t="shared" si="17"/>
        <v>0.97463910492242367</v>
      </c>
      <c r="O132" s="29">
        <f t="shared" si="18"/>
        <v>3.1693222913967575E-2</v>
      </c>
      <c r="P132">
        <f t="shared" si="19"/>
        <v>4.1334624838709123E-2</v>
      </c>
      <c r="Q132" s="30">
        <f t="shared" si="20"/>
        <v>2.5688025303779616E-2</v>
      </c>
    </row>
    <row r="133" spans="2:17" x14ac:dyDescent="0.3">
      <c r="B133" s="6">
        <v>130</v>
      </c>
      <c r="C133" s="4">
        <v>3.0939999999999999E-2</v>
      </c>
      <c r="D133" s="4">
        <v>4.0939999999999997E-2</v>
      </c>
      <c r="E133" s="4">
        <v>2.4750000000000001E-2</v>
      </c>
      <c r="G133" s="29">
        <f t="shared" ref="G133:G153" si="21">(1+C133)^(-$B133)</f>
        <v>1.9039662721903043E-2</v>
      </c>
      <c r="H133">
        <f t="shared" ref="H133:H153" si="22">(1+D133)^(-$B133)</f>
        <v>5.4282437013354248E-3</v>
      </c>
      <c r="I133" s="30">
        <f t="shared" ref="I133:I153" si="23">(1+E133)^(-$B133)</f>
        <v>4.1655225656367235E-2</v>
      </c>
      <c r="K133" s="29">
        <f t="shared" ref="K133:K153" si="24">G133/G132</f>
        <v>0.96756410085452293</v>
      </c>
      <c r="L133">
        <f t="shared" ref="L133:L153" si="25">H133/H132</f>
        <v>0.95829204012075309</v>
      </c>
      <c r="M133" s="30">
        <f t="shared" ref="M133:M153" si="26">I133/I132</f>
        <v>0.97462009490739343</v>
      </c>
      <c r="O133" s="29">
        <f t="shared" ref="O133:O153" si="27">-LN(K133)</f>
        <v>3.2973602159705004E-2</v>
      </c>
      <c r="P133">
        <f t="shared" ref="P133:P153" si="28">-LN(L133)</f>
        <v>4.2602703916783967E-2</v>
      </c>
      <c r="Q133" s="30">
        <f t="shared" ref="Q133:Q153" si="29">-LN(M133)</f>
        <v>2.5707530164941747E-2</v>
      </c>
    </row>
    <row r="134" spans="2:17" x14ac:dyDescent="0.3">
      <c r="B134" s="5">
        <v>131</v>
      </c>
      <c r="C134" s="3">
        <v>3.0949999999999998E-2</v>
      </c>
      <c r="D134" s="3">
        <v>4.095E-2</v>
      </c>
      <c r="E134" s="3">
        <v>2.4760000000000001E-2</v>
      </c>
      <c r="G134" s="29">
        <f t="shared" si="21"/>
        <v>1.8444802597383986E-2</v>
      </c>
      <c r="H134">
        <f t="shared" si="22"/>
        <v>5.2081932734155756E-3</v>
      </c>
      <c r="I134" s="30">
        <f t="shared" si="23"/>
        <v>4.0597228143165021E-2</v>
      </c>
      <c r="K134" s="29">
        <f t="shared" si="24"/>
        <v>0.9687567929533365</v>
      </c>
      <c r="L134">
        <f t="shared" si="25"/>
        <v>0.95946194754194369</v>
      </c>
      <c r="M134" s="30">
        <f t="shared" si="26"/>
        <v>0.97460108554134084</v>
      </c>
      <c r="O134" s="29">
        <f t="shared" si="27"/>
        <v>3.1741686258301344E-2</v>
      </c>
      <c r="P134">
        <f t="shared" si="28"/>
        <v>4.1382622953486659E-2</v>
      </c>
      <c r="Q134" s="30">
        <f t="shared" si="29"/>
        <v>2.5727034740660359E-2</v>
      </c>
    </row>
    <row r="135" spans="2:17" x14ac:dyDescent="0.3">
      <c r="B135" s="5">
        <v>132</v>
      </c>
      <c r="C135" s="3">
        <v>3.0970000000000001E-2</v>
      </c>
      <c r="D135" s="3">
        <v>4.0969999999999999E-2</v>
      </c>
      <c r="E135" s="3">
        <v>2.478E-2</v>
      </c>
      <c r="G135" s="29">
        <f t="shared" si="21"/>
        <v>1.7845318437246613E-2</v>
      </c>
      <c r="H135">
        <f t="shared" si="22"/>
        <v>4.9906349035232058E-3</v>
      </c>
      <c r="I135" s="30">
        <f t="shared" si="23"/>
        <v>3.9514400112491639E-2</v>
      </c>
      <c r="K135" s="29">
        <f t="shared" si="24"/>
        <v>0.96749847785183685</v>
      </c>
      <c r="L135">
        <f t="shared" si="25"/>
        <v>0.95822766965986783</v>
      </c>
      <c r="M135" s="30">
        <f t="shared" si="26"/>
        <v>0.97332753785911641</v>
      </c>
      <c r="O135" s="29">
        <f t="shared" si="27"/>
        <v>3.3041427359192986E-2</v>
      </c>
      <c r="P135">
        <f t="shared" si="28"/>
        <v>4.2669878243852932E-2</v>
      </c>
      <c r="Q135" s="30">
        <f t="shared" si="29"/>
        <v>2.7034626659978411E-2</v>
      </c>
    </row>
    <row r="136" spans="2:17" x14ac:dyDescent="0.3">
      <c r="B136" s="5">
        <v>133</v>
      </c>
      <c r="C136" s="3">
        <v>3.0980000000000001E-2</v>
      </c>
      <c r="D136" s="3">
        <v>4.0980000000000003E-2</v>
      </c>
      <c r="E136" s="3">
        <v>2.478E-2</v>
      </c>
      <c r="G136" s="29">
        <f t="shared" si="21"/>
        <v>1.7286935689600436E-2</v>
      </c>
      <c r="H136">
        <f t="shared" si="22"/>
        <v>4.788094468251773E-3</v>
      </c>
      <c r="I136" s="30">
        <f t="shared" si="23"/>
        <v>3.8558910314888693E-2</v>
      </c>
      <c r="K136" s="29">
        <f t="shared" si="24"/>
        <v>0.96870984680885686</v>
      </c>
      <c r="L136">
        <f t="shared" si="25"/>
        <v>0.95941589813984451</v>
      </c>
      <c r="M136" s="40">
        <f t="shared" si="26"/>
        <v>0.97581920021858337</v>
      </c>
      <c r="O136" s="29">
        <f t="shared" si="27"/>
        <v>3.1790147628964829E-2</v>
      </c>
      <c r="P136">
        <f t="shared" si="28"/>
        <v>4.1430619132307153E-2</v>
      </c>
      <c r="Q136" s="40">
        <f t="shared" si="29"/>
        <v>2.4477955406825343E-2</v>
      </c>
    </row>
    <row r="137" spans="2:17" x14ac:dyDescent="0.3">
      <c r="B137" s="5">
        <v>134</v>
      </c>
      <c r="C137" s="3">
        <v>3.1E-2</v>
      </c>
      <c r="D137" s="3">
        <v>4.1000000000000002E-2</v>
      </c>
      <c r="E137" s="3">
        <v>2.4799999999999999E-2</v>
      </c>
      <c r="G137" s="29">
        <f t="shared" si="21"/>
        <v>1.6723949674575501E-2</v>
      </c>
      <c r="H137">
        <f t="shared" si="22"/>
        <v>4.58777642723207E-3</v>
      </c>
      <c r="I137" s="30">
        <f t="shared" si="23"/>
        <v>3.7528253821639164E-2</v>
      </c>
      <c r="K137" s="29">
        <f t="shared" si="24"/>
        <v>0.96743286229938263</v>
      </c>
      <c r="L137">
        <f t="shared" si="25"/>
        <v>0.95816330643684167</v>
      </c>
      <c r="M137" s="30">
        <f t="shared" si="26"/>
        <v>0.97327060114425579</v>
      </c>
      <c r="O137" s="29">
        <f t="shared" si="27"/>
        <v>3.31092494582182E-2</v>
      </c>
      <c r="P137">
        <f t="shared" si="28"/>
        <v>4.2737049529726401E-2</v>
      </c>
      <c r="Q137" s="30">
        <f t="shared" si="29"/>
        <v>2.7093125344155731E-2</v>
      </c>
    </row>
    <row r="138" spans="2:17" x14ac:dyDescent="0.3">
      <c r="B138" s="6">
        <v>135</v>
      </c>
      <c r="C138" s="4">
        <v>3.1009999999999999E-2</v>
      </c>
      <c r="D138" s="4">
        <v>4.1009999999999998E-2</v>
      </c>
      <c r="E138" s="4">
        <v>2.4809999999999999E-2</v>
      </c>
      <c r="G138" s="29">
        <f t="shared" si="21"/>
        <v>1.6199869672357588E-2</v>
      </c>
      <c r="H138">
        <f t="shared" si="22"/>
        <v>4.4013743956962358E-3</v>
      </c>
      <c r="I138" s="30">
        <f t="shared" si="23"/>
        <v>3.6571867201607322E-2</v>
      </c>
      <c r="K138" s="29">
        <f t="shared" si="24"/>
        <v>0.96866290485108053</v>
      </c>
      <c r="L138">
        <f t="shared" si="25"/>
        <v>0.95936985280507758</v>
      </c>
      <c r="M138" s="30">
        <f t="shared" si="26"/>
        <v>0.97451555767616393</v>
      </c>
      <c r="O138" s="29">
        <f t="shared" si="27"/>
        <v>3.1838607026099731E-2</v>
      </c>
      <c r="P138">
        <f t="shared" si="28"/>
        <v>4.1478613375284093E-2</v>
      </c>
      <c r="Q138" s="30">
        <f t="shared" si="29"/>
        <v>2.5814795383954252E-2</v>
      </c>
    </row>
    <row r="139" spans="2:17" x14ac:dyDescent="0.3">
      <c r="B139" s="5">
        <v>136</v>
      </c>
      <c r="C139" s="3">
        <v>3.1029999999999999E-2</v>
      </c>
      <c r="D139" s="3">
        <v>4.1029999999999997E-2</v>
      </c>
      <c r="E139" s="3">
        <v>2.4819999999999998E-2</v>
      </c>
      <c r="G139" s="29">
        <f t="shared" si="21"/>
        <v>1.5671223443281687E-2</v>
      </c>
      <c r="H139">
        <f t="shared" si="22"/>
        <v>4.2169521890566544E-3</v>
      </c>
      <c r="I139" s="30">
        <f t="shared" si="23"/>
        <v>3.5639158485428563E-2</v>
      </c>
      <c r="K139" s="29">
        <f t="shared" si="24"/>
        <v>0.96736725419600444</v>
      </c>
      <c r="L139">
        <f t="shared" si="25"/>
        <v>0.95809895045058802</v>
      </c>
      <c r="M139" s="30">
        <f t="shared" si="26"/>
        <v>0.97449655192508833</v>
      </c>
      <c r="O139" s="29">
        <f t="shared" si="27"/>
        <v>3.3177068457032582E-2</v>
      </c>
      <c r="P139">
        <f t="shared" si="28"/>
        <v>4.2804217774622462E-2</v>
      </c>
      <c r="Q139" s="30">
        <f t="shared" si="29"/>
        <v>2.5834298342383891E-2</v>
      </c>
    </row>
    <row r="140" spans="2:17" x14ac:dyDescent="0.3">
      <c r="B140" s="5">
        <v>137</v>
      </c>
      <c r="C140" s="3">
        <v>3.1040000000000002E-2</v>
      </c>
      <c r="D140" s="3">
        <v>4.104E-2</v>
      </c>
      <c r="E140" s="3">
        <v>2.4830000000000001E-2</v>
      </c>
      <c r="G140" s="29">
        <f t="shared" si="21"/>
        <v>1.517939725083306E-2</v>
      </c>
      <c r="H140">
        <f t="shared" si="22"/>
        <v>4.0454226470754877E-3</v>
      </c>
      <c r="I140" s="30">
        <f t="shared" si="23"/>
        <v>3.4729559731710227E-2</v>
      </c>
      <c r="K140" s="29">
        <f t="shared" si="24"/>
        <v>0.9686159670794896</v>
      </c>
      <c r="L140">
        <f t="shared" si="25"/>
        <v>0.9593238115370859</v>
      </c>
      <c r="M140" s="30">
        <f t="shared" si="26"/>
        <v>0.97447754682282317</v>
      </c>
      <c r="O140" s="29">
        <f t="shared" si="27"/>
        <v>3.1887064449840005E-2</v>
      </c>
      <c r="P140">
        <f t="shared" si="28"/>
        <v>4.1526605682608783E-2</v>
      </c>
      <c r="Q140" s="30">
        <f t="shared" si="29"/>
        <v>2.5853801015382951E-2</v>
      </c>
    </row>
    <row r="141" spans="2:17" x14ac:dyDescent="0.3">
      <c r="B141" s="5">
        <v>138</v>
      </c>
      <c r="C141" s="3">
        <v>3.1060000000000001E-2</v>
      </c>
      <c r="D141" s="3">
        <v>4.1059999999999999E-2</v>
      </c>
      <c r="E141" s="3">
        <v>2.4850000000000001E-2</v>
      </c>
      <c r="G141" s="29">
        <f t="shared" si="21"/>
        <v>1.4683056060479181E-2</v>
      </c>
      <c r="H141">
        <f t="shared" si="22"/>
        <v>3.8756548743990441E-3</v>
      </c>
      <c r="I141" s="30">
        <f t="shared" si="23"/>
        <v>3.3796976347000698E-2</v>
      </c>
      <c r="K141" s="29">
        <f t="shared" si="24"/>
        <v>0.96730165354051589</v>
      </c>
      <c r="L141">
        <f t="shared" si="25"/>
        <v>0.95803460169998012</v>
      </c>
      <c r="M141" s="30">
        <f t="shared" si="26"/>
        <v>0.97314727304596316</v>
      </c>
      <c r="O141" s="29">
        <f t="shared" si="27"/>
        <v>3.3244884355919845E-2</v>
      </c>
      <c r="P141">
        <f t="shared" si="28"/>
        <v>4.2871382978801338E-2</v>
      </c>
      <c r="Q141" s="30">
        <f t="shared" si="29"/>
        <v>2.7219848490395826E-2</v>
      </c>
    </row>
    <row r="142" spans="2:17" x14ac:dyDescent="0.3">
      <c r="B142" s="5">
        <v>139</v>
      </c>
      <c r="C142" s="3">
        <v>3.107E-2</v>
      </c>
      <c r="D142" s="3">
        <v>4.1070000000000002E-2</v>
      </c>
      <c r="E142" s="3">
        <v>2.486E-2</v>
      </c>
      <c r="G142" s="29">
        <f t="shared" si="21"/>
        <v>1.4221553417230083E-2</v>
      </c>
      <c r="H142">
        <f t="shared" si="22"/>
        <v>3.7178295820057042E-3</v>
      </c>
      <c r="I142" s="30">
        <f t="shared" si="23"/>
        <v>3.2932789126618303E-2</v>
      </c>
      <c r="K142" s="29">
        <f t="shared" si="24"/>
        <v>0.96856903349356038</v>
      </c>
      <c r="L142">
        <f t="shared" si="25"/>
        <v>0.95927777433541161</v>
      </c>
      <c r="M142" s="30">
        <f t="shared" si="26"/>
        <v>0.97443004334146333</v>
      </c>
      <c r="O142" s="29">
        <f t="shared" si="27"/>
        <v>3.1935519900325657E-2</v>
      </c>
      <c r="P142">
        <f t="shared" si="28"/>
        <v>4.1574596054369251E-2</v>
      </c>
      <c r="Q142" s="30">
        <f t="shared" si="29"/>
        <v>2.5902549844325887E-2</v>
      </c>
    </row>
    <row r="143" spans="2:17" x14ac:dyDescent="0.3">
      <c r="B143" s="6">
        <v>140</v>
      </c>
      <c r="C143" s="4">
        <v>3.109E-2</v>
      </c>
      <c r="D143" s="4">
        <v>4.1090000000000002E-2</v>
      </c>
      <c r="E143" s="4">
        <v>2.487E-2</v>
      </c>
      <c r="G143" s="29">
        <f t="shared" si="21"/>
        <v>1.3755599299080531E-2</v>
      </c>
      <c r="H143">
        <f t="shared" si="22"/>
        <v>3.5615701719935678E-3</v>
      </c>
      <c r="I143" s="30">
        <f t="shared" si="23"/>
        <v>3.2090073321273054E-2</v>
      </c>
      <c r="K143" s="29">
        <f t="shared" si="24"/>
        <v>0.96723606033184628</v>
      </c>
      <c r="L143">
        <f t="shared" si="25"/>
        <v>0.95797026018394393</v>
      </c>
      <c r="M143" s="30">
        <f t="shared" si="26"/>
        <v>0.97441104055580541</v>
      </c>
      <c r="O143" s="29">
        <f t="shared" si="27"/>
        <v>3.3312697155044292E-2</v>
      </c>
      <c r="P143">
        <f t="shared" si="28"/>
        <v>4.29385451424684E-2</v>
      </c>
      <c r="Q143" s="30">
        <f t="shared" si="29"/>
        <v>2.5922051471026528E-2</v>
      </c>
    </row>
    <row r="144" spans="2:17" x14ac:dyDescent="0.3">
      <c r="B144" s="5">
        <v>141</v>
      </c>
      <c r="C144" s="3">
        <v>3.1099999999999999E-2</v>
      </c>
      <c r="D144" s="3">
        <v>4.1099999999999998E-2</v>
      </c>
      <c r="E144" s="3">
        <v>2.4879999999999999E-2</v>
      </c>
      <c r="G144" s="29">
        <f t="shared" si="21"/>
        <v>1.3322601976201817E-2</v>
      </c>
      <c r="H144">
        <f t="shared" si="22"/>
        <v>3.4163711574855885E-3</v>
      </c>
      <c r="I144" s="30">
        <f t="shared" si="23"/>
        <v>3.1268311956521251E-2</v>
      </c>
      <c r="K144" s="29">
        <f t="shared" si="24"/>
        <v>0.96852210409271977</v>
      </c>
      <c r="L144">
        <f t="shared" si="25"/>
        <v>0.95923174119949883</v>
      </c>
      <c r="M144" s="30">
        <f t="shared" si="26"/>
        <v>0.97439203841871425</v>
      </c>
      <c r="O144" s="29">
        <f t="shared" si="27"/>
        <v>3.1983973377747756E-2</v>
      </c>
      <c r="P144">
        <f t="shared" si="28"/>
        <v>4.1622584490755794E-2</v>
      </c>
      <c r="Q144" s="30">
        <f t="shared" si="29"/>
        <v>2.5941552812436316E-2</v>
      </c>
    </row>
    <row r="145" spans="2:17" x14ac:dyDescent="0.3">
      <c r="B145" s="5">
        <v>142</v>
      </c>
      <c r="C145" s="3">
        <v>3.1109999999999999E-2</v>
      </c>
      <c r="D145" s="3">
        <v>4.1110000000000001E-2</v>
      </c>
      <c r="E145" s="3">
        <v>2.4889999999999999E-2</v>
      </c>
      <c r="G145" s="29">
        <f t="shared" si="21"/>
        <v>1.2902984390578184E-2</v>
      </c>
      <c r="H145">
        <f t="shared" si="22"/>
        <v>3.2770287428061308E-3</v>
      </c>
      <c r="I145" s="30">
        <f t="shared" si="23"/>
        <v>3.0467000080758332E-2</v>
      </c>
      <c r="K145" s="29">
        <f t="shared" si="24"/>
        <v>0.96850333092790752</v>
      </c>
      <c r="L145">
        <f t="shared" si="25"/>
        <v>0.95921332658070668</v>
      </c>
      <c r="M145" s="30">
        <f t="shared" si="26"/>
        <v>0.97437303693025878</v>
      </c>
      <c r="O145" s="29">
        <f t="shared" si="27"/>
        <v>3.2003356876253684E-2</v>
      </c>
      <c r="P145">
        <f t="shared" si="28"/>
        <v>4.164178193258198E-2</v>
      </c>
      <c r="Q145" s="30">
        <f t="shared" si="29"/>
        <v>2.5961053868460385E-2</v>
      </c>
    </row>
    <row r="146" spans="2:17" x14ac:dyDescent="0.3">
      <c r="B146" s="5">
        <v>143</v>
      </c>
      <c r="C146" s="3">
        <v>3.1130000000000001E-2</v>
      </c>
      <c r="D146" s="3">
        <v>4.113E-2</v>
      </c>
      <c r="E146" s="3">
        <v>2.4899999999999999E-2</v>
      </c>
      <c r="G146" s="29">
        <f t="shared" si="21"/>
        <v>1.2479022790807884E-2</v>
      </c>
      <c r="H146">
        <f t="shared" si="22"/>
        <v>3.1389948820723275E-3</v>
      </c>
      <c r="I146" s="30">
        <f t="shared" si="23"/>
        <v>2.9685644496254326E-2</v>
      </c>
      <c r="K146" s="29">
        <f t="shared" si="24"/>
        <v>0.96714236126024622</v>
      </c>
      <c r="L146">
        <f t="shared" si="25"/>
        <v>0.95787834908777625</v>
      </c>
      <c r="M146" s="30">
        <f t="shared" si="26"/>
        <v>0.9743540360904297</v>
      </c>
      <c r="O146" s="29">
        <f t="shared" si="27"/>
        <v>3.3409574860696352E-2</v>
      </c>
      <c r="P146">
        <f t="shared" si="28"/>
        <v>4.3034493325214564E-2</v>
      </c>
      <c r="Q146" s="30">
        <f t="shared" si="29"/>
        <v>2.5980554639084191E-2</v>
      </c>
    </row>
    <row r="147" spans="2:17" x14ac:dyDescent="0.3">
      <c r="B147" s="5">
        <v>144</v>
      </c>
      <c r="C147" s="3">
        <v>3.1140000000000001E-2</v>
      </c>
      <c r="D147" s="3">
        <v>4.1140000000000003E-2</v>
      </c>
      <c r="E147" s="3">
        <v>2.4910000000000002E-2</v>
      </c>
      <c r="G147" s="29">
        <f t="shared" si="21"/>
        <v>1.2085389579214513E-2</v>
      </c>
      <c r="H147">
        <f t="shared" si="22"/>
        <v>3.0108212429287955E-3</v>
      </c>
      <c r="I147" s="30">
        <f t="shared" si="23"/>
        <v>2.8923763495944624E-2</v>
      </c>
      <c r="K147" s="29">
        <f t="shared" si="24"/>
        <v>0.9684564073491938</v>
      </c>
      <c r="L147">
        <f t="shared" si="25"/>
        <v>0.95916729910087861</v>
      </c>
      <c r="M147" s="30">
        <f t="shared" si="26"/>
        <v>0.97433503589905768</v>
      </c>
      <c r="O147" s="29">
        <f t="shared" si="27"/>
        <v>3.2051807629044901E-2</v>
      </c>
      <c r="P147">
        <f t="shared" si="28"/>
        <v>4.1689767696429597E-2</v>
      </c>
      <c r="Q147" s="30">
        <f t="shared" si="29"/>
        <v>2.600005512445739E-2</v>
      </c>
    </row>
    <row r="148" spans="2:17" x14ac:dyDescent="0.3">
      <c r="B148" s="6">
        <v>145</v>
      </c>
      <c r="C148" s="4">
        <v>3.1150000000000001E-2</v>
      </c>
      <c r="D148" s="4">
        <v>4.1149999999999999E-2</v>
      </c>
      <c r="E148" s="4">
        <v>2.4920000000000001E-2</v>
      </c>
      <c r="G148" s="29">
        <f t="shared" si="21"/>
        <v>1.170394611977762E-2</v>
      </c>
      <c r="H148">
        <f t="shared" si="22"/>
        <v>2.8878258431827442E-3</v>
      </c>
      <c r="I148" s="30">
        <f t="shared" si="23"/>
        <v>2.8180886605873676E-2</v>
      </c>
      <c r="K148" s="29">
        <f t="shared" si="24"/>
        <v>0.96843763645874248</v>
      </c>
      <c r="L148">
        <f t="shared" si="25"/>
        <v>0.95914888669165665</v>
      </c>
      <c r="M148" s="30">
        <f t="shared" si="26"/>
        <v>0.97431603635622643</v>
      </c>
      <c r="O148" s="29">
        <f t="shared" si="27"/>
        <v>3.2071190093988629E-2</v>
      </c>
      <c r="P148">
        <f t="shared" si="28"/>
        <v>4.1708964124379161E-2</v>
      </c>
      <c r="Q148" s="30">
        <f t="shared" si="29"/>
        <v>2.6019555324469961E-2</v>
      </c>
    </row>
    <row r="149" spans="2:17" x14ac:dyDescent="0.3">
      <c r="B149" s="5">
        <v>146</v>
      </c>
      <c r="C149" s="3">
        <v>3.116E-2</v>
      </c>
      <c r="D149" s="3">
        <v>4.1160000000000002E-2</v>
      </c>
      <c r="E149" s="3">
        <v>2.4930000000000001E-2</v>
      </c>
      <c r="G149" s="29">
        <f t="shared" si="21"/>
        <v>1.1334322231440942E-2</v>
      </c>
      <c r="H149">
        <f t="shared" si="22"/>
        <v>2.7698017724034482E-3</v>
      </c>
      <c r="I149" s="30">
        <f t="shared" si="23"/>
        <v>2.7456554333153058E-2</v>
      </c>
      <c r="K149" s="29">
        <f t="shared" si="24"/>
        <v>0.96841886620512729</v>
      </c>
      <c r="L149">
        <f t="shared" si="25"/>
        <v>0.95913047490106995</v>
      </c>
      <c r="M149" s="30">
        <f t="shared" si="26"/>
        <v>0.9742970374619212</v>
      </c>
      <c r="O149" s="29">
        <f t="shared" si="27"/>
        <v>3.2090572277015568E-2</v>
      </c>
      <c r="P149">
        <f t="shared" si="28"/>
        <v>4.172816027584271E-2</v>
      </c>
      <c r="Q149" s="30">
        <f t="shared" si="29"/>
        <v>2.6039055239112954E-2</v>
      </c>
    </row>
    <row r="150" spans="2:17" x14ac:dyDescent="0.3">
      <c r="B150" s="5">
        <v>147</v>
      </c>
      <c r="C150" s="3">
        <v>3.1179999999999999E-2</v>
      </c>
      <c r="D150" s="3">
        <v>4.1180000000000001E-2</v>
      </c>
      <c r="E150" s="3">
        <v>2.494E-2</v>
      </c>
      <c r="G150" s="29">
        <f t="shared" si="21"/>
        <v>1.0960522738008977E-2</v>
      </c>
      <c r="H150">
        <f t="shared" si="22"/>
        <v>2.6528022464416658E-3</v>
      </c>
      <c r="I150" s="30">
        <f t="shared" si="23"/>
        <v>2.6750317919332082E-2</v>
      </c>
      <c r="K150" s="29">
        <f t="shared" si="24"/>
        <v>0.96702056939981285</v>
      </c>
      <c r="L150">
        <f t="shared" si="25"/>
        <v>0.9577588811129043</v>
      </c>
      <c r="M150" s="30">
        <f t="shared" si="26"/>
        <v>0.97427803921600553</v>
      </c>
      <c r="O150" s="29">
        <f t="shared" si="27"/>
        <v>3.3535512400563044E-2</v>
      </c>
      <c r="P150">
        <f t="shared" si="28"/>
        <v>4.3159222551754306E-2</v>
      </c>
      <c r="Q150" s="30">
        <f t="shared" si="29"/>
        <v>2.6058554868502302E-2</v>
      </c>
    </row>
    <row r="151" spans="2:17" x14ac:dyDescent="0.3">
      <c r="B151" s="5">
        <v>148</v>
      </c>
      <c r="C151" s="3">
        <v>3.1189999999999999E-2</v>
      </c>
      <c r="D151" s="3">
        <v>4.1189999999999997E-2</v>
      </c>
      <c r="E151" s="3">
        <v>2.495E-2</v>
      </c>
      <c r="G151" s="29">
        <f t="shared" si="21"/>
        <v>1.0613862777752791E-2</v>
      </c>
      <c r="H151">
        <f t="shared" si="22"/>
        <v>2.5442613958674737E-3</v>
      </c>
      <c r="I151" s="30">
        <f t="shared" si="23"/>
        <v>2.6061739099079249E-2</v>
      </c>
      <c r="K151" s="29">
        <f t="shared" si="24"/>
        <v>0.96837195008463994</v>
      </c>
      <c r="L151">
        <f t="shared" si="25"/>
        <v>0.95908445466684022</v>
      </c>
      <c r="M151" s="30">
        <f t="shared" si="26"/>
        <v>0.97425904161852195</v>
      </c>
      <c r="O151" s="29">
        <f t="shared" si="27"/>
        <v>3.213901955392532E-2</v>
      </c>
      <c r="P151">
        <f t="shared" si="28"/>
        <v>4.1776142630196425E-2</v>
      </c>
      <c r="Q151" s="30">
        <f t="shared" si="29"/>
        <v>2.6078054212570263E-2</v>
      </c>
    </row>
    <row r="152" spans="2:17" x14ac:dyDescent="0.3">
      <c r="B152" s="5">
        <v>149</v>
      </c>
      <c r="C152" s="3">
        <v>3.1199999999999999E-2</v>
      </c>
      <c r="D152" s="3">
        <v>4.1200000000000001E-2</v>
      </c>
      <c r="E152" s="3">
        <v>2.496E-2</v>
      </c>
      <c r="G152" s="29">
        <f t="shared" si="21"/>
        <v>1.0277967795261862E-2</v>
      </c>
      <c r="H152">
        <f t="shared" si="22"/>
        <v>2.4401147145978672E-3</v>
      </c>
      <c r="I152" s="30">
        <f t="shared" si="23"/>
        <v>2.5390389864050403E-2</v>
      </c>
      <c r="K152" s="29">
        <f t="shared" si="24"/>
        <v>0.96835318210491828</v>
      </c>
      <c r="L152">
        <f t="shared" si="25"/>
        <v>0.95906604508531745</v>
      </c>
      <c r="M152" s="30">
        <f t="shared" si="26"/>
        <v>0.97424004466944558</v>
      </c>
      <c r="O152" s="29">
        <f t="shared" si="27"/>
        <v>3.2158400703485801E-2</v>
      </c>
      <c r="P152">
        <f t="shared" si="28"/>
        <v>4.1795337767935314E-2</v>
      </c>
      <c r="Q152" s="30">
        <f t="shared" si="29"/>
        <v>2.6097553271318255E-2</v>
      </c>
    </row>
    <row r="153" spans="2:17" ht="16.2" thickBot="1" x14ac:dyDescent="0.35">
      <c r="B153" s="6">
        <v>150</v>
      </c>
      <c r="C153" s="4">
        <v>3.1210000000000002E-2</v>
      </c>
      <c r="D153" s="4">
        <v>4.1209999999999997E-2</v>
      </c>
      <c r="E153" s="4">
        <v>2.4969999999999999E-2</v>
      </c>
      <c r="G153" s="31">
        <f t="shared" si="21"/>
        <v>9.9525099299657086E-3</v>
      </c>
      <c r="H153" s="32">
        <f t="shared" si="22"/>
        <v>2.3401862489021989E-3</v>
      </c>
      <c r="I153" s="33">
        <f t="shared" si="23"/>
        <v>2.4735852231846267E-2</v>
      </c>
      <c r="K153" s="31">
        <f t="shared" si="24"/>
        <v>0.96833441476181803</v>
      </c>
      <c r="L153" s="32">
        <f t="shared" si="25"/>
        <v>0.95904763612224819</v>
      </c>
      <c r="M153" s="33">
        <f t="shared" si="26"/>
        <v>0.97422104836874213</v>
      </c>
      <c r="O153" s="31">
        <f t="shared" si="27"/>
        <v>3.2177781571242889E-2</v>
      </c>
      <c r="P153" s="32">
        <f t="shared" si="28"/>
        <v>4.1814532629272455E-2</v>
      </c>
      <c r="Q153" s="33">
        <f t="shared" si="29"/>
        <v>2.6117052044757387E-2</v>
      </c>
    </row>
    <row r="154" spans="2:17" x14ac:dyDescent="0.3">
      <c r="E154" s="26"/>
    </row>
  </sheetData>
  <mergeCells count="3">
    <mergeCell ref="G1:I1"/>
    <mergeCell ref="K1:M1"/>
    <mergeCell ref="O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56C1-1845-6246-A897-41233353AB98}">
  <dimension ref="A1:G122"/>
  <sheetViews>
    <sheetView workbookViewId="0">
      <selection activeCell="C2" sqref="C2"/>
    </sheetView>
  </sheetViews>
  <sheetFormatPr defaultColWidth="11.19921875" defaultRowHeight="15.6" x14ac:dyDescent="0.3"/>
  <cols>
    <col min="2" max="2" width="13.796875" customWidth="1"/>
    <col min="4" max="4" width="27.296875" customWidth="1"/>
    <col min="5" max="5" width="12.19921875" customWidth="1"/>
    <col min="6" max="6" width="34" customWidth="1"/>
    <col min="7" max="7" width="15.69921875" customWidth="1"/>
  </cols>
  <sheetData>
    <row r="1" spans="1:7" ht="22.05" customHeight="1" x14ac:dyDescent="0.3">
      <c r="A1" s="111" t="s">
        <v>8</v>
      </c>
      <c r="B1" s="111"/>
      <c r="C1" s="111"/>
      <c r="D1" s="111"/>
      <c r="E1" s="111"/>
      <c r="F1" s="111"/>
      <c r="G1" s="111"/>
    </row>
    <row r="2" spans="1:7" ht="19.05" customHeight="1" x14ac:dyDescent="0.3">
      <c r="A2" s="15" t="s">
        <v>9</v>
      </c>
      <c r="B2" s="15" t="s">
        <v>10</v>
      </c>
      <c r="C2" s="15" t="s">
        <v>11</v>
      </c>
      <c r="D2" s="15" t="s">
        <v>12</v>
      </c>
      <c r="E2" s="15" t="s">
        <v>13</v>
      </c>
      <c r="F2" s="15" t="s">
        <v>14</v>
      </c>
      <c r="G2" s="15" t="s">
        <v>15</v>
      </c>
    </row>
    <row r="3" spans="1:7" x14ac:dyDescent="0.3">
      <c r="A3" s="13">
        <v>0</v>
      </c>
      <c r="B3" s="13">
        <v>100000</v>
      </c>
      <c r="C3" s="13">
        <v>235</v>
      </c>
      <c r="D3" s="14">
        <v>2.3456800000000002</v>
      </c>
      <c r="E3" s="13">
        <v>99779</v>
      </c>
      <c r="F3" s="14">
        <v>0.99977400000000005</v>
      </c>
      <c r="G3" s="14">
        <v>82.64</v>
      </c>
    </row>
    <row r="4" spans="1:7" x14ac:dyDescent="0.3">
      <c r="A4" s="13">
        <v>1</v>
      </c>
      <c r="B4" s="13">
        <v>99765</v>
      </c>
      <c r="C4" s="13">
        <v>17</v>
      </c>
      <c r="D4" s="14">
        <v>0.17468</v>
      </c>
      <c r="E4" s="13">
        <v>99757</v>
      </c>
      <c r="F4" s="14">
        <v>0.99984989999999996</v>
      </c>
      <c r="G4" s="14">
        <v>81.832999999999998</v>
      </c>
    </row>
    <row r="5" spans="1:7" x14ac:dyDescent="0.3">
      <c r="A5" s="13">
        <v>2</v>
      </c>
      <c r="B5" s="13">
        <v>99748</v>
      </c>
      <c r="C5" s="13">
        <v>13</v>
      </c>
      <c r="D5" s="14">
        <v>0.12547</v>
      </c>
      <c r="E5" s="13">
        <v>99742</v>
      </c>
      <c r="F5" s="14">
        <v>0.9998901</v>
      </c>
      <c r="G5" s="14">
        <v>80.846999999999994</v>
      </c>
    </row>
    <row r="6" spans="1:7" x14ac:dyDescent="0.3">
      <c r="A6" s="13">
        <v>3</v>
      </c>
      <c r="B6" s="13">
        <v>99735</v>
      </c>
      <c r="C6" s="13">
        <v>9</v>
      </c>
      <c r="D6" s="14">
        <v>9.4350000000000003E-2</v>
      </c>
      <c r="E6" s="13">
        <v>99731</v>
      </c>
      <c r="F6" s="14">
        <v>0.99991490000000005</v>
      </c>
      <c r="G6" s="14">
        <v>79.856999999999999</v>
      </c>
    </row>
    <row r="7" spans="1:7" x14ac:dyDescent="0.3">
      <c r="A7" s="13">
        <v>4</v>
      </c>
      <c r="B7" s="13">
        <v>99726</v>
      </c>
      <c r="C7" s="13">
        <v>8</v>
      </c>
      <c r="D7" s="14">
        <v>7.5899999999999995E-2</v>
      </c>
      <c r="E7" s="13">
        <v>99722</v>
      </c>
      <c r="F7" s="14">
        <v>0.99992570000000003</v>
      </c>
      <c r="G7" s="14">
        <v>78.864999999999995</v>
      </c>
    </row>
    <row r="8" spans="1:7" x14ac:dyDescent="0.3">
      <c r="A8" s="13">
        <v>5</v>
      </c>
      <c r="B8" s="13">
        <v>99719</v>
      </c>
      <c r="C8" s="13">
        <v>7</v>
      </c>
      <c r="D8" s="14">
        <v>7.2650000000000006E-2</v>
      </c>
      <c r="E8" s="13">
        <v>99715</v>
      </c>
      <c r="F8" s="14">
        <v>0.99992789999999998</v>
      </c>
      <c r="G8" s="14">
        <v>77.87</v>
      </c>
    </row>
    <row r="9" spans="1:7" x14ac:dyDescent="0.3">
      <c r="A9" s="13">
        <v>6</v>
      </c>
      <c r="B9" s="13">
        <v>99711</v>
      </c>
      <c r="C9" s="13">
        <v>7</v>
      </c>
      <c r="D9" s="14">
        <v>7.1489999999999998E-2</v>
      </c>
      <c r="E9" s="13">
        <v>99708</v>
      </c>
      <c r="F9" s="14">
        <v>0.99992910000000002</v>
      </c>
      <c r="G9" s="14">
        <v>76.876000000000005</v>
      </c>
    </row>
    <row r="10" spans="1:7" x14ac:dyDescent="0.3">
      <c r="A10" s="13">
        <v>7</v>
      </c>
      <c r="B10" s="13">
        <v>99704</v>
      </c>
      <c r="C10" s="13">
        <v>7</v>
      </c>
      <c r="D10" s="14">
        <v>7.0400000000000004E-2</v>
      </c>
      <c r="E10" s="13">
        <v>99701</v>
      </c>
      <c r="F10" s="14">
        <v>0.99993299999999996</v>
      </c>
      <c r="G10" s="14">
        <v>75.882000000000005</v>
      </c>
    </row>
    <row r="11" spans="1:7" x14ac:dyDescent="0.3">
      <c r="A11" s="13">
        <v>8</v>
      </c>
      <c r="B11" s="13">
        <v>99697</v>
      </c>
      <c r="C11" s="13">
        <v>6</v>
      </c>
      <c r="D11" s="14">
        <v>6.3640000000000002E-2</v>
      </c>
      <c r="E11" s="13">
        <v>99694</v>
      </c>
      <c r="F11" s="14">
        <v>0.99993569999999998</v>
      </c>
      <c r="G11" s="14">
        <v>74.887</v>
      </c>
    </row>
    <row r="12" spans="1:7" x14ac:dyDescent="0.3">
      <c r="A12" s="13">
        <v>9</v>
      </c>
      <c r="B12" s="13">
        <v>99691</v>
      </c>
      <c r="C12" s="13">
        <v>6</v>
      </c>
      <c r="D12" s="14">
        <v>6.4979999999999996E-2</v>
      </c>
      <c r="E12" s="13">
        <v>99688</v>
      </c>
      <c r="F12" s="14">
        <v>0.99993399999999999</v>
      </c>
      <c r="G12" s="14">
        <v>73.891999999999996</v>
      </c>
    </row>
    <row r="13" spans="1:7" x14ac:dyDescent="0.3">
      <c r="A13" s="13">
        <v>10</v>
      </c>
      <c r="B13" s="13">
        <v>99684</v>
      </c>
      <c r="C13" s="13">
        <v>7</v>
      </c>
      <c r="D13" s="14">
        <v>6.6930000000000003E-2</v>
      </c>
      <c r="E13" s="13">
        <v>99681</v>
      </c>
      <c r="F13" s="14">
        <v>0.99993180000000004</v>
      </c>
      <c r="G13" s="14">
        <v>72.896000000000001</v>
      </c>
    </row>
    <row r="14" spans="1:7" x14ac:dyDescent="0.3">
      <c r="A14" s="13">
        <v>11</v>
      </c>
      <c r="B14" s="13">
        <v>99678</v>
      </c>
      <c r="C14" s="13">
        <v>7</v>
      </c>
      <c r="D14" s="14">
        <v>6.9409999999999999E-2</v>
      </c>
      <c r="E14" s="13">
        <v>99674</v>
      </c>
      <c r="F14" s="14">
        <v>0.99992780000000003</v>
      </c>
      <c r="G14" s="14">
        <v>71.900999999999996</v>
      </c>
    </row>
    <row r="15" spans="1:7" x14ac:dyDescent="0.3">
      <c r="A15" s="13">
        <v>12</v>
      </c>
      <c r="B15" s="13">
        <v>99671</v>
      </c>
      <c r="C15" s="13">
        <v>7</v>
      </c>
      <c r="D15" s="14">
        <v>7.5029999999999999E-2</v>
      </c>
      <c r="E15" s="13">
        <v>99667</v>
      </c>
      <c r="F15" s="14">
        <v>0.99991850000000004</v>
      </c>
      <c r="G15" s="14">
        <v>70.906000000000006</v>
      </c>
    </row>
    <row r="16" spans="1:7" x14ac:dyDescent="0.3">
      <c r="A16" s="13">
        <v>13</v>
      </c>
      <c r="B16" s="13">
        <v>99663</v>
      </c>
      <c r="C16" s="13">
        <v>9</v>
      </c>
      <c r="D16" s="14">
        <v>8.7940000000000004E-2</v>
      </c>
      <c r="E16" s="13">
        <v>99659</v>
      </c>
      <c r="F16" s="14">
        <v>0.99990290000000004</v>
      </c>
      <c r="G16" s="14">
        <v>69.911000000000001</v>
      </c>
    </row>
    <row r="17" spans="1:7" x14ac:dyDescent="0.3">
      <c r="A17" s="13">
        <v>14</v>
      </c>
      <c r="B17" s="13">
        <v>99654</v>
      </c>
      <c r="C17" s="13">
        <v>11</v>
      </c>
      <c r="D17" s="14">
        <v>0.10630000000000001</v>
      </c>
      <c r="E17" s="13">
        <v>99649</v>
      </c>
      <c r="F17" s="14">
        <v>0.99988200000000005</v>
      </c>
      <c r="G17" s="14">
        <v>68.918000000000006</v>
      </c>
    </row>
    <row r="18" spans="1:7" x14ac:dyDescent="0.3">
      <c r="A18" s="13">
        <v>15</v>
      </c>
      <c r="B18" s="13">
        <v>99644</v>
      </c>
      <c r="C18" s="13">
        <v>13</v>
      </c>
      <c r="D18" s="14">
        <v>0.12964000000000001</v>
      </c>
      <c r="E18" s="13">
        <v>99637</v>
      </c>
      <c r="F18" s="14">
        <v>0.99985139999999995</v>
      </c>
      <c r="G18" s="14">
        <v>67.924999999999997</v>
      </c>
    </row>
    <row r="19" spans="1:7" x14ac:dyDescent="0.3">
      <c r="A19" s="13">
        <v>16</v>
      </c>
      <c r="B19" s="13">
        <v>99631</v>
      </c>
      <c r="C19" s="13">
        <v>17</v>
      </c>
      <c r="D19" s="14">
        <v>0.16753000000000001</v>
      </c>
      <c r="E19" s="13">
        <v>99623</v>
      </c>
      <c r="F19" s="14">
        <v>0.99981710000000001</v>
      </c>
      <c r="G19" s="14">
        <v>66.933999999999997</v>
      </c>
    </row>
    <row r="20" spans="1:7" x14ac:dyDescent="0.3">
      <c r="A20" s="13">
        <v>17</v>
      </c>
      <c r="B20" s="13">
        <v>99614</v>
      </c>
      <c r="C20" s="13">
        <v>20</v>
      </c>
      <c r="D20" s="14">
        <v>0.19827</v>
      </c>
      <c r="E20" s="13">
        <v>99604</v>
      </c>
      <c r="F20" s="14">
        <v>0.99978860000000003</v>
      </c>
      <c r="G20" s="14">
        <v>65.944999999999993</v>
      </c>
    </row>
    <row r="21" spans="1:7" x14ac:dyDescent="0.3">
      <c r="A21" s="13">
        <v>18</v>
      </c>
      <c r="B21" s="13">
        <v>99595</v>
      </c>
      <c r="C21" s="13">
        <v>22</v>
      </c>
      <c r="D21" s="14">
        <v>0.22453999999999999</v>
      </c>
      <c r="E21" s="13">
        <v>99583</v>
      </c>
      <c r="F21" s="14">
        <v>0.99976580000000004</v>
      </c>
      <c r="G21" s="14">
        <v>64.957999999999998</v>
      </c>
    </row>
    <row r="22" spans="1:7" x14ac:dyDescent="0.3">
      <c r="A22" s="13">
        <v>19</v>
      </c>
      <c r="B22" s="13">
        <v>99572</v>
      </c>
      <c r="C22" s="13">
        <v>24</v>
      </c>
      <c r="D22" s="14">
        <v>0.24393999999999999</v>
      </c>
      <c r="E22" s="13">
        <v>99560</v>
      </c>
      <c r="F22" s="14">
        <v>0.99974929999999995</v>
      </c>
      <c r="G22" s="14">
        <v>63.972000000000001</v>
      </c>
    </row>
    <row r="23" spans="1:7" x14ac:dyDescent="0.3">
      <c r="A23" s="13">
        <v>20</v>
      </c>
      <c r="B23" s="13">
        <v>99548</v>
      </c>
      <c r="C23" s="13">
        <v>26</v>
      </c>
      <c r="D23" s="14">
        <v>0.25755</v>
      </c>
      <c r="E23" s="13">
        <v>99535</v>
      </c>
      <c r="F23" s="14">
        <v>0.99974130000000005</v>
      </c>
      <c r="G23" s="14">
        <v>62.988</v>
      </c>
    </row>
    <row r="24" spans="1:7" x14ac:dyDescent="0.3">
      <c r="A24" s="13">
        <v>21</v>
      </c>
      <c r="B24" s="13">
        <v>99522</v>
      </c>
      <c r="C24" s="13">
        <v>26</v>
      </c>
      <c r="D24" s="14">
        <v>0.25989000000000001</v>
      </c>
      <c r="E24" s="13">
        <v>99509</v>
      </c>
      <c r="F24" s="14">
        <v>0.99973849999999997</v>
      </c>
      <c r="G24" s="14">
        <v>62.003999999999998</v>
      </c>
    </row>
    <row r="25" spans="1:7" x14ac:dyDescent="0.3">
      <c r="A25" s="13">
        <v>22</v>
      </c>
      <c r="B25" s="13">
        <v>99496</v>
      </c>
      <c r="C25" s="13">
        <v>26</v>
      </c>
      <c r="D25" s="14">
        <v>0.26312000000000002</v>
      </c>
      <c r="E25" s="13">
        <v>99483</v>
      </c>
      <c r="F25" s="14">
        <v>0.99973380000000001</v>
      </c>
      <c r="G25" s="14">
        <v>61.02</v>
      </c>
    </row>
    <row r="26" spans="1:7" x14ac:dyDescent="0.3">
      <c r="A26" s="13">
        <v>23</v>
      </c>
      <c r="B26" s="13">
        <v>99470</v>
      </c>
      <c r="C26" s="13">
        <v>27</v>
      </c>
      <c r="D26" s="14">
        <v>0.26933000000000001</v>
      </c>
      <c r="E26" s="13">
        <v>99457</v>
      </c>
      <c r="F26" s="14">
        <v>0.99972819999999996</v>
      </c>
      <c r="G26" s="14">
        <v>60.036000000000001</v>
      </c>
    </row>
    <row r="27" spans="1:7" x14ac:dyDescent="0.3">
      <c r="A27" s="13">
        <v>24</v>
      </c>
      <c r="B27" s="13">
        <v>99443</v>
      </c>
      <c r="C27" s="13">
        <v>27</v>
      </c>
      <c r="D27" s="14">
        <v>0.27431</v>
      </c>
      <c r="E27" s="13">
        <v>99430</v>
      </c>
      <c r="F27" s="14">
        <v>0.99972090000000002</v>
      </c>
      <c r="G27" s="14">
        <v>59.052</v>
      </c>
    </row>
    <row r="28" spans="1:7" x14ac:dyDescent="0.3">
      <c r="A28" s="13">
        <v>25</v>
      </c>
      <c r="B28" s="13">
        <v>99416</v>
      </c>
      <c r="C28" s="13">
        <v>28</v>
      </c>
      <c r="D28" s="14">
        <v>0.28399000000000002</v>
      </c>
      <c r="E28" s="13">
        <v>99402</v>
      </c>
      <c r="F28" s="14">
        <v>0.99970720000000002</v>
      </c>
      <c r="G28" s="14">
        <v>58.067999999999998</v>
      </c>
    </row>
    <row r="29" spans="1:7" x14ac:dyDescent="0.3">
      <c r="A29" s="13">
        <v>26</v>
      </c>
      <c r="B29" s="13">
        <v>99388</v>
      </c>
      <c r="C29" s="13">
        <v>30</v>
      </c>
      <c r="D29" s="14">
        <v>0.30157</v>
      </c>
      <c r="E29" s="13">
        <v>99373</v>
      </c>
      <c r="F29" s="14">
        <v>0.99969019999999997</v>
      </c>
      <c r="G29" s="14">
        <v>57.084000000000003</v>
      </c>
    </row>
    <row r="30" spans="1:7" x14ac:dyDescent="0.3">
      <c r="A30" s="13">
        <v>27</v>
      </c>
      <c r="B30" s="13">
        <v>99358</v>
      </c>
      <c r="C30" s="13">
        <v>32</v>
      </c>
      <c r="D30" s="14">
        <v>0.31803999999999999</v>
      </c>
      <c r="E30" s="13">
        <v>99342</v>
      </c>
      <c r="F30" s="14">
        <v>0.99967589999999995</v>
      </c>
      <c r="G30" s="14">
        <v>56.100999999999999</v>
      </c>
    </row>
    <row r="31" spans="1:7" x14ac:dyDescent="0.3">
      <c r="A31" s="13">
        <v>28</v>
      </c>
      <c r="B31" s="13">
        <v>99326</v>
      </c>
      <c r="C31" s="13">
        <v>33</v>
      </c>
      <c r="D31" s="14">
        <v>0.33011000000000001</v>
      </c>
      <c r="E31" s="13">
        <v>99310</v>
      </c>
      <c r="F31" s="14">
        <v>0.99966410000000006</v>
      </c>
      <c r="G31" s="14">
        <v>55.119</v>
      </c>
    </row>
    <row r="32" spans="1:7" x14ac:dyDescent="0.3">
      <c r="A32" s="13">
        <v>29</v>
      </c>
      <c r="B32" s="13">
        <v>99294</v>
      </c>
      <c r="C32" s="13">
        <v>34</v>
      </c>
      <c r="D32" s="14">
        <v>0.34171000000000001</v>
      </c>
      <c r="E32" s="13">
        <v>99277</v>
      </c>
      <c r="F32" s="14">
        <v>0.99965159999999997</v>
      </c>
      <c r="G32" s="14">
        <v>54.137</v>
      </c>
    </row>
    <row r="33" spans="1:7" x14ac:dyDescent="0.3">
      <c r="A33" s="13">
        <v>30</v>
      </c>
      <c r="B33" s="13">
        <v>99260</v>
      </c>
      <c r="C33" s="13">
        <v>35</v>
      </c>
      <c r="D33" s="14">
        <v>0.35514000000000001</v>
      </c>
      <c r="E33" s="13">
        <v>99242</v>
      </c>
      <c r="F33" s="14">
        <v>0.99963409999999997</v>
      </c>
      <c r="G33" s="14">
        <v>53.155000000000001</v>
      </c>
    </row>
    <row r="34" spans="1:7" x14ac:dyDescent="0.3">
      <c r="A34" s="13">
        <v>31</v>
      </c>
      <c r="B34" s="13">
        <v>99224</v>
      </c>
      <c r="C34" s="13">
        <v>37</v>
      </c>
      <c r="D34" s="14">
        <v>0.37665999999999999</v>
      </c>
      <c r="E34" s="13">
        <v>99206</v>
      </c>
      <c r="F34" s="14">
        <v>0.99961350000000004</v>
      </c>
      <c r="G34" s="14">
        <v>52.173999999999999</v>
      </c>
    </row>
    <row r="35" spans="1:7" x14ac:dyDescent="0.3">
      <c r="A35" s="13">
        <v>32</v>
      </c>
      <c r="B35" s="13">
        <v>99187</v>
      </c>
      <c r="C35" s="13">
        <v>39</v>
      </c>
      <c r="D35" s="14">
        <v>0.39629999999999999</v>
      </c>
      <c r="E35" s="13">
        <v>99167</v>
      </c>
      <c r="F35" s="14">
        <v>0.99958939999999996</v>
      </c>
      <c r="G35" s="14">
        <v>51.192999999999998</v>
      </c>
    </row>
    <row r="36" spans="1:7" x14ac:dyDescent="0.3">
      <c r="A36" s="13">
        <v>33</v>
      </c>
      <c r="B36" s="13">
        <v>99148</v>
      </c>
      <c r="C36" s="13">
        <v>42</v>
      </c>
      <c r="D36" s="14">
        <v>0.42487000000000003</v>
      </c>
      <c r="E36" s="13">
        <v>99127</v>
      </c>
      <c r="F36" s="14">
        <v>0.99955830000000001</v>
      </c>
      <c r="G36" s="14">
        <v>50.213999999999999</v>
      </c>
    </row>
    <row r="37" spans="1:7" x14ac:dyDescent="0.3">
      <c r="A37" s="13">
        <v>34</v>
      </c>
      <c r="B37" s="13">
        <v>99106</v>
      </c>
      <c r="C37" s="13">
        <v>45</v>
      </c>
      <c r="D37" s="14">
        <v>0.45861000000000002</v>
      </c>
      <c r="E37" s="13">
        <v>99083</v>
      </c>
      <c r="F37" s="14">
        <v>0.99952529999999995</v>
      </c>
      <c r="G37" s="14">
        <v>49.234999999999999</v>
      </c>
    </row>
    <row r="38" spans="1:7" x14ac:dyDescent="0.3">
      <c r="A38" s="13">
        <v>35</v>
      </c>
      <c r="B38" s="13">
        <v>99060</v>
      </c>
      <c r="C38" s="13">
        <v>49</v>
      </c>
      <c r="D38" s="14">
        <v>0.49080000000000001</v>
      </c>
      <c r="E38" s="13">
        <v>99036</v>
      </c>
      <c r="F38" s="14">
        <v>0.99949160000000004</v>
      </c>
      <c r="G38" s="14">
        <v>48.256999999999998</v>
      </c>
    </row>
    <row r="39" spans="1:7" x14ac:dyDescent="0.3">
      <c r="A39" s="13">
        <v>36</v>
      </c>
      <c r="B39" s="13">
        <v>99011</v>
      </c>
      <c r="C39" s="13">
        <v>52</v>
      </c>
      <c r="D39" s="14">
        <v>0.52605999999999997</v>
      </c>
      <c r="E39" s="13">
        <v>98985</v>
      </c>
      <c r="F39" s="14">
        <v>0.99944869999999997</v>
      </c>
      <c r="G39" s="14">
        <v>47.28</v>
      </c>
    </row>
    <row r="40" spans="1:7" x14ac:dyDescent="0.3">
      <c r="A40" s="13">
        <v>37</v>
      </c>
      <c r="B40" s="13">
        <v>98959</v>
      </c>
      <c r="C40" s="13">
        <v>57</v>
      </c>
      <c r="D40" s="14">
        <v>0.5766</v>
      </c>
      <c r="E40" s="13">
        <v>98931</v>
      </c>
      <c r="F40" s="14">
        <v>0.99940050000000002</v>
      </c>
      <c r="G40" s="14">
        <v>46.305</v>
      </c>
    </row>
    <row r="41" spans="1:7" x14ac:dyDescent="0.3">
      <c r="A41" s="13">
        <v>38</v>
      </c>
      <c r="B41" s="13">
        <v>98902</v>
      </c>
      <c r="C41" s="13">
        <v>62</v>
      </c>
      <c r="D41" s="14">
        <v>0.62231999999999998</v>
      </c>
      <c r="E41" s="13">
        <v>98872</v>
      </c>
      <c r="F41" s="14">
        <v>0.99934840000000003</v>
      </c>
      <c r="G41" s="14">
        <v>45.332000000000001</v>
      </c>
    </row>
    <row r="42" spans="1:7" x14ac:dyDescent="0.3">
      <c r="A42" s="13">
        <v>39</v>
      </c>
      <c r="B42" s="13">
        <v>98841</v>
      </c>
      <c r="C42" s="13">
        <v>67</v>
      </c>
      <c r="D42" s="14">
        <v>0.68091999999999997</v>
      </c>
      <c r="E42" s="13">
        <v>98807</v>
      </c>
      <c r="F42" s="14">
        <v>0.99927900000000003</v>
      </c>
      <c r="G42" s="14">
        <v>44.359000000000002</v>
      </c>
    </row>
    <row r="43" spans="1:7" x14ac:dyDescent="0.3">
      <c r="A43" s="13">
        <v>40</v>
      </c>
      <c r="B43" s="13">
        <v>98773</v>
      </c>
      <c r="C43" s="13">
        <v>75</v>
      </c>
      <c r="D43" s="14">
        <v>0.76115999999999995</v>
      </c>
      <c r="E43" s="13">
        <v>98736</v>
      </c>
      <c r="F43" s="14">
        <v>0.9991913</v>
      </c>
      <c r="G43" s="14">
        <v>43.389000000000003</v>
      </c>
    </row>
    <row r="44" spans="1:7" x14ac:dyDescent="0.3">
      <c r="A44" s="13">
        <v>41</v>
      </c>
      <c r="B44" s="13">
        <v>98698</v>
      </c>
      <c r="C44" s="13">
        <v>85</v>
      </c>
      <c r="D44" s="14">
        <v>0.85626000000000002</v>
      </c>
      <c r="E44" s="13">
        <v>98656</v>
      </c>
      <c r="F44" s="14">
        <v>0.99909599999999998</v>
      </c>
      <c r="G44" s="14">
        <v>42.421999999999997</v>
      </c>
    </row>
    <row r="45" spans="1:7" x14ac:dyDescent="0.3">
      <c r="A45" s="13">
        <v>42</v>
      </c>
      <c r="B45" s="13">
        <v>98614</v>
      </c>
      <c r="C45" s="13">
        <v>94</v>
      </c>
      <c r="D45" s="14">
        <v>0.95177</v>
      </c>
      <c r="E45" s="13">
        <v>98567</v>
      </c>
      <c r="F45" s="14">
        <v>0.99899700000000002</v>
      </c>
      <c r="G45" s="14">
        <v>41.457999999999998</v>
      </c>
    </row>
    <row r="46" spans="1:7" x14ac:dyDescent="0.3">
      <c r="A46" s="13">
        <v>43</v>
      </c>
      <c r="B46" s="13">
        <v>98520</v>
      </c>
      <c r="C46" s="13">
        <v>104</v>
      </c>
      <c r="D46" s="14">
        <v>1.05419</v>
      </c>
      <c r="E46" s="13">
        <v>98468</v>
      </c>
      <c r="F46" s="14">
        <v>0.99888670000000002</v>
      </c>
      <c r="G46" s="14">
        <v>40.497</v>
      </c>
    </row>
    <row r="47" spans="1:7" x14ac:dyDescent="0.3">
      <c r="A47" s="13">
        <v>44</v>
      </c>
      <c r="B47" s="13">
        <v>98416</v>
      </c>
      <c r="C47" s="13">
        <v>115</v>
      </c>
      <c r="D47" s="14">
        <v>1.17239</v>
      </c>
      <c r="E47" s="13">
        <v>98358</v>
      </c>
      <c r="F47" s="14">
        <v>0.99877459999999996</v>
      </c>
      <c r="G47" s="14">
        <v>39.539000000000001</v>
      </c>
    </row>
    <row r="48" spans="1:7" x14ac:dyDescent="0.3">
      <c r="A48" s="13">
        <v>45</v>
      </c>
      <c r="B48" s="13">
        <v>98301</v>
      </c>
      <c r="C48" s="13">
        <v>126</v>
      </c>
      <c r="D48" s="14">
        <v>1.27854</v>
      </c>
      <c r="E48" s="13">
        <v>98238</v>
      </c>
      <c r="F48" s="14">
        <v>0.998664</v>
      </c>
      <c r="G48" s="14">
        <v>38.585000000000001</v>
      </c>
    </row>
    <row r="49" spans="1:7" x14ac:dyDescent="0.3">
      <c r="A49" s="13">
        <v>46</v>
      </c>
      <c r="B49" s="13">
        <v>98175</v>
      </c>
      <c r="C49" s="13">
        <v>137</v>
      </c>
      <c r="D49" s="14">
        <v>1.39357</v>
      </c>
      <c r="E49" s="13">
        <v>98107</v>
      </c>
      <c r="F49" s="14">
        <v>0.99854419999999999</v>
      </c>
      <c r="G49" s="14">
        <v>37.634</v>
      </c>
    </row>
    <row r="50" spans="1:7" x14ac:dyDescent="0.3">
      <c r="A50" s="13">
        <v>47</v>
      </c>
      <c r="B50" s="13">
        <v>98038</v>
      </c>
      <c r="C50" s="13">
        <v>149</v>
      </c>
      <c r="D50" s="14">
        <v>1.5182</v>
      </c>
      <c r="E50" s="13">
        <v>97964</v>
      </c>
      <c r="F50" s="14">
        <v>0.99842649999999999</v>
      </c>
      <c r="G50" s="14">
        <v>36.686</v>
      </c>
    </row>
    <row r="51" spans="1:7" x14ac:dyDescent="0.3">
      <c r="A51" s="13">
        <v>48</v>
      </c>
      <c r="B51" s="13">
        <v>97889</v>
      </c>
      <c r="C51" s="13">
        <v>159</v>
      </c>
      <c r="D51" s="14">
        <v>1.6288800000000001</v>
      </c>
      <c r="E51" s="13">
        <v>97810</v>
      </c>
      <c r="F51" s="14">
        <v>0.99831510000000001</v>
      </c>
      <c r="G51" s="14">
        <v>35.741</v>
      </c>
    </row>
    <row r="52" spans="1:7" x14ac:dyDescent="0.3">
      <c r="A52" s="13">
        <v>49</v>
      </c>
      <c r="B52" s="13">
        <v>97730</v>
      </c>
      <c r="C52" s="13">
        <v>170</v>
      </c>
      <c r="D52" s="14">
        <v>1.7411000000000001</v>
      </c>
      <c r="E52" s="13">
        <v>97645</v>
      </c>
      <c r="F52" s="14">
        <v>0.99816609999999995</v>
      </c>
      <c r="G52" s="14">
        <v>34.798000000000002</v>
      </c>
    </row>
    <row r="53" spans="1:7" x14ac:dyDescent="0.3">
      <c r="A53" s="13">
        <v>50</v>
      </c>
      <c r="B53" s="13">
        <v>97560</v>
      </c>
      <c r="C53" s="13">
        <v>188</v>
      </c>
      <c r="D53" s="14">
        <v>1.92686</v>
      </c>
      <c r="E53" s="13">
        <v>97466</v>
      </c>
      <c r="F53" s="14">
        <v>0.99797440000000004</v>
      </c>
      <c r="G53" s="14">
        <v>33.857999999999997</v>
      </c>
    </row>
    <row r="54" spans="1:7" x14ac:dyDescent="0.3">
      <c r="A54" s="13">
        <v>51</v>
      </c>
      <c r="B54" s="13">
        <v>97372</v>
      </c>
      <c r="C54" s="13">
        <v>207</v>
      </c>
      <c r="D54" s="14">
        <v>2.1246100000000001</v>
      </c>
      <c r="E54" s="13">
        <v>97268</v>
      </c>
      <c r="F54" s="14">
        <v>0.99776989999999999</v>
      </c>
      <c r="G54" s="14">
        <v>32.921999999999997</v>
      </c>
    </row>
    <row r="55" spans="1:7" x14ac:dyDescent="0.3">
      <c r="A55" s="13">
        <v>52</v>
      </c>
      <c r="B55" s="13">
        <v>97165</v>
      </c>
      <c r="C55" s="13">
        <v>227</v>
      </c>
      <c r="D55" s="14">
        <v>2.3358500000000002</v>
      </c>
      <c r="E55" s="13">
        <v>97051</v>
      </c>
      <c r="F55" s="14">
        <v>0.99754509999999996</v>
      </c>
      <c r="G55" s="14">
        <v>31.991</v>
      </c>
    </row>
    <row r="56" spans="1:7" x14ac:dyDescent="0.3">
      <c r="A56" s="13">
        <v>53</v>
      </c>
      <c r="B56" s="13">
        <v>96938</v>
      </c>
      <c r="C56" s="13">
        <v>250</v>
      </c>
      <c r="D56" s="14">
        <v>2.5742600000000002</v>
      </c>
      <c r="E56" s="13">
        <v>96813</v>
      </c>
      <c r="F56" s="14">
        <v>0.99728320000000004</v>
      </c>
      <c r="G56" s="14">
        <v>31.065000000000001</v>
      </c>
    </row>
    <row r="57" spans="1:7" x14ac:dyDescent="0.3">
      <c r="A57" s="13">
        <v>54</v>
      </c>
      <c r="B57" s="13">
        <v>96688</v>
      </c>
      <c r="C57" s="13">
        <v>277</v>
      </c>
      <c r="D57" s="14">
        <v>2.8597700000000001</v>
      </c>
      <c r="E57" s="13">
        <v>96550</v>
      </c>
      <c r="F57" s="14">
        <v>0.99699369999999998</v>
      </c>
      <c r="G57" s="14">
        <v>30.143999999999998</v>
      </c>
    </row>
    <row r="58" spans="1:7" x14ac:dyDescent="0.3">
      <c r="A58" s="13">
        <v>55</v>
      </c>
      <c r="B58" s="13">
        <v>96412</v>
      </c>
      <c r="C58" s="13">
        <v>304</v>
      </c>
      <c r="D58" s="14">
        <v>3.1533500000000001</v>
      </c>
      <c r="E58" s="13">
        <v>96260</v>
      </c>
      <c r="F58" s="14">
        <v>0.99670199999999998</v>
      </c>
      <c r="G58" s="14">
        <v>29.228999999999999</v>
      </c>
    </row>
    <row r="59" spans="1:7" x14ac:dyDescent="0.3">
      <c r="A59" s="13">
        <v>56</v>
      </c>
      <c r="B59" s="13">
        <v>96108</v>
      </c>
      <c r="C59" s="13">
        <v>331</v>
      </c>
      <c r="D59" s="14">
        <v>3.4431099999999999</v>
      </c>
      <c r="E59" s="13">
        <v>95942</v>
      </c>
      <c r="F59" s="14">
        <v>0.99639009999999995</v>
      </c>
      <c r="G59" s="14">
        <v>28.32</v>
      </c>
    </row>
    <row r="60" spans="1:7" x14ac:dyDescent="0.3">
      <c r="A60" s="13">
        <v>57</v>
      </c>
      <c r="B60" s="13">
        <v>95777</v>
      </c>
      <c r="C60" s="13">
        <v>362</v>
      </c>
      <c r="D60" s="14">
        <v>3.77719</v>
      </c>
      <c r="E60" s="13">
        <v>95596</v>
      </c>
      <c r="F60" s="14">
        <v>0.99603660000000005</v>
      </c>
      <c r="G60" s="14">
        <v>27.416</v>
      </c>
    </row>
    <row r="61" spans="1:7" x14ac:dyDescent="0.3">
      <c r="A61" s="13">
        <v>58</v>
      </c>
      <c r="B61" s="13">
        <v>95415</v>
      </c>
      <c r="C61" s="13">
        <v>396</v>
      </c>
      <c r="D61" s="14">
        <v>4.1502800000000004</v>
      </c>
      <c r="E61" s="13">
        <v>95217</v>
      </c>
      <c r="F61" s="14">
        <v>0.99565340000000002</v>
      </c>
      <c r="G61" s="14">
        <v>26.518000000000001</v>
      </c>
    </row>
    <row r="62" spans="1:7" x14ac:dyDescent="0.3">
      <c r="A62" s="13">
        <v>59</v>
      </c>
      <c r="B62" s="13">
        <v>95019</v>
      </c>
      <c r="C62" s="13">
        <v>432</v>
      </c>
      <c r="D62" s="14">
        <v>4.5437900000000004</v>
      </c>
      <c r="E62" s="13">
        <v>94803</v>
      </c>
      <c r="F62" s="14">
        <v>0.99521230000000005</v>
      </c>
      <c r="G62" s="14">
        <v>25.626000000000001</v>
      </c>
    </row>
    <row r="63" spans="1:7" x14ac:dyDescent="0.3">
      <c r="A63" s="13">
        <v>60</v>
      </c>
      <c r="B63" s="13">
        <v>94587</v>
      </c>
      <c r="C63" s="13">
        <v>476</v>
      </c>
      <c r="D63" s="14">
        <v>5.0327700000000002</v>
      </c>
      <c r="E63" s="13">
        <v>94349</v>
      </c>
      <c r="F63" s="14">
        <v>0.99470919999999996</v>
      </c>
      <c r="G63" s="14">
        <v>24.741</v>
      </c>
    </row>
    <row r="64" spans="1:7" x14ac:dyDescent="0.3">
      <c r="A64" s="13">
        <v>61</v>
      </c>
      <c r="B64" s="13">
        <v>94111</v>
      </c>
      <c r="C64" s="13">
        <v>522</v>
      </c>
      <c r="D64" s="14">
        <v>5.5501399999999999</v>
      </c>
      <c r="E64" s="13">
        <v>93850</v>
      </c>
      <c r="F64" s="14">
        <v>0.99418519999999999</v>
      </c>
      <c r="G64" s="14">
        <v>23.864000000000001</v>
      </c>
    </row>
    <row r="65" spans="1:7" x14ac:dyDescent="0.3">
      <c r="A65" s="13">
        <v>62</v>
      </c>
      <c r="B65" s="13">
        <v>93589</v>
      </c>
      <c r="C65" s="13">
        <v>569</v>
      </c>
      <c r="D65" s="14">
        <v>6.0808799999999996</v>
      </c>
      <c r="E65" s="13">
        <v>93304</v>
      </c>
      <c r="F65" s="14">
        <v>0.99359310000000001</v>
      </c>
      <c r="G65" s="14">
        <v>22.994</v>
      </c>
    </row>
    <row r="66" spans="1:7" x14ac:dyDescent="0.3">
      <c r="A66" s="13">
        <v>63</v>
      </c>
      <c r="B66" s="13">
        <v>93020</v>
      </c>
      <c r="C66" s="13">
        <v>626</v>
      </c>
      <c r="D66" s="14">
        <v>6.7349100000000002</v>
      </c>
      <c r="E66" s="13">
        <v>92707</v>
      </c>
      <c r="F66" s="14">
        <v>0.99287890000000001</v>
      </c>
      <c r="G66" s="14">
        <v>22.132000000000001</v>
      </c>
    </row>
    <row r="67" spans="1:7" x14ac:dyDescent="0.3">
      <c r="A67" s="13">
        <v>64</v>
      </c>
      <c r="B67" s="13">
        <v>92393</v>
      </c>
      <c r="C67" s="13">
        <v>694</v>
      </c>
      <c r="D67" s="14">
        <v>7.50997</v>
      </c>
      <c r="E67" s="13">
        <v>92047</v>
      </c>
      <c r="F67" s="14">
        <v>0.99206939999999999</v>
      </c>
      <c r="G67" s="14">
        <v>21.277999999999999</v>
      </c>
    </row>
    <row r="68" spans="1:7" x14ac:dyDescent="0.3">
      <c r="A68" s="13">
        <v>65</v>
      </c>
      <c r="B68" s="13">
        <v>91700</v>
      </c>
      <c r="C68" s="13">
        <v>766</v>
      </c>
      <c r="D68" s="14">
        <v>8.3544</v>
      </c>
      <c r="E68" s="13">
        <v>91317</v>
      </c>
      <c r="F68" s="14">
        <v>0.99127220000000005</v>
      </c>
      <c r="G68" s="14">
        <v>20.436</v>
      </c>
    </row>
    <row r="69" spans="1:7" x14ac:dyDescent="0.3">
      <c r="A69" s="13">
        <v>66</v>
      </c>
      <c r="B69" s="13">
        <v>90933</v>
      </c>
      <c r="C69" s="13">
        <v>828</v>
      </c>
      <c r="D69" s="14">
        <v>9.1044</v>
      </c>
      <c r="E69" s="13">
        <v>90520</v>
      </c>
      <c r="F69" s="14">
        <v>0.9904849</v>
      </c>
      <c r="G69" s="14">
        <v>19.603999999999999</v>
      </c>
    </row>
    <row r="70" spans="1:7" x14ac:dyDescent="0.3">
      <c r="A70" s="13">
        <v>67</v>
      </c>
      <c r="B70" s="13">
        <v>90106</v>
      </c>
      <c r="C70" s="13">
        <v>895</v>
      </c>
      <c r="D70" s="14">
        <v>9.9296399999999991</v>
      </c>
      <c r="E70" s="13">
        <v>89658</v>
      </c>
      <c r="F70" s="14">
        <v>0.9896142</v>
      </c>
      <c r="G70" s="14">
        <v>18.779</v>
      </c>
    </row>
    <row r="71" spans="1:7" x14ac:dyDescent="0.3">
      <c r="A71" s="13">
        <v>68</v>
      </c>
      <c r="B71" s="13">
        <v>89211</v>
      </c>
      <c r="C71" s="13">
        <v>968</v>
      </c>
      <c r="D71" s="14">
        <v>10.846439999999999</v>
      </c>
      <c r="E71" s="13">
        <v>88727</v>
      </c>
      <c r="F71" s="14">
        <v>0.98849929999999997</v>
      </c>
      <c r="G71" s="14">
        <v>17.962</v>
      </c>
    </row>
    <row r="72" spans="1:7" x14ac:dyDescent="0.3">
      <c r="A72" s="13">
        <v>69</v>
      </c>
      <c r="B72" s="13">
        <v>88243</v>
      </c>
      <c r="C72" s="13">
        <v>1073</v>
      </c>
      <c r="D72" s="14">
        <v>12.16211</v>
      </c>
      <c r="E72" s="13">
        <v>87707</v>
      </c>
      <c r="F72" s="14">
        <v>0.98714849999999998</v>
      </c>
      <c r="G72" s="14">
        <v>17.154</v>
      </c>
    </row>
    <row r="73" spans="1:7" x14ac:dyDescent="0.3">
      <c r="A73" s="13">
        <v>70</v>
      </c>
      <c r="B73" s="13">
        <v>87170</v>
      </c>
      <c r="C73" s="13">
        <v>1181</v>
      </c>
      <c r="D73" s="14">
        <v>13.549379999999999</v>
      </c>
      <c r="E73" s="13">
        <v>86579</v>
      </c>
      <c r="F73" s="14">
        <v>0.98561710000000002</v>
      </c>
      <c r="G73" s="14">
        <v>16.359000000000002</v>
      </c>
    </row>
    <row r="74" spans="1:7" x14ac:dyDescent="0.3">
      <c r="A74" s="13">
        <v>71</v>
      </c>
      <c r="B74" s="13">
        <v>85989</v>
      </c>
      <c r="C74" s="13">
        <v>1309</v>
      </c>
      <c r="D74" s="14">
        <v>15.22794</v>
      </c>
      <c r="E74" s="13">
        <v>85334</v>
      </c>
      <c r="F74" s="14">
        <v>0.98398770000000002</v>
      </c>
      <c r="G74" s="14">
        <v>15.577</v>
      </c>
    </row>
    <row r="75" spans="1:7" x14ac:dyDescent="0.3">
      <c r="A75" s="13">
        <v>72</v>
      </c>
      <c r="B75" s="13">
        <v>84679</v>
      </c>
      <c r="C75" s="13">
        <v>1423</v>
      </c>
      <c r="D75" s="14">
        <v>16.808869999999999</v>
      </c>
      <c r="E75" s="13">
        <v>83968</v>
      </c>
      <c r="F75" s="14">
        <v>0.98229460000000002</v>
      </c>
      <c r="G75" s="14">
        <v>14.81</v>
      </c>
    </row>
    <row r="76" spans="1:7" x14ac:dyDescent="0.3">
      <c r="A76" s="13">
        <v>73</v>
      </c>
      <c r="B76" s="13">
        <v>83256</v>
      </c>
      <c r="C76" s="13">
        <v>1550</v>
      </c>
      <c r="D76" s="14">
        <v>18.61722</v>
      </c>
      <c r="E76" s="13">
        <v>82481</v>
      </c>
      <c r="F76" s="14">
        <v>0.98050550000000003</v>
      </c>
      <c r="G76" s="14">
        <v>14.055</v>
      </c>
    </row>
    <row r="77" spans="1:7" x14ac:dyDescent="0.3">
      <c r="A77" s="13">
        <v>74</v>
      </c>
      <c r="B77" s="13">
        <v>81706</v>
      </c>
      <c r="C77" s="13">
        <v>1666</v>
      </c>
      <c r="D77" s="14">
        <v>20.388400000000001</v>
      </c>
      <c r="E77" s="13">
        <v>80873</v>
      </c>
      <c r="F77" s="14">
        <v>0.97834399999999999</v>
      </c>
      <c r="G77" s="14">
        <v>13.311999999999999</v>
      </c>
    </row>
    <row r="78" spans="1:7" x14ac:dyDescent="0.3">
      <c r="A78" s="13">
        <v>75</v>
      </c>
      <c r="B78" s="13">
        <v>80040</v>
      </c>
      <c r="C78" s="13">
        <v>1837</v>
      </c>
      <c r="D78" s="14">
        <v>22.950040000000001</v>
      </c>
      <c r="E78" s="13">
        <v>79122</v>
      </c>
      <c r="F78" s="14">
        <v>0.97559799999999997</v>
      </c>
      <c r="G78" s="14">
        <v>12.577999999999999</v>
      </c>
    </row>
    <row r="79" spans="1:7" x14ac:dyDescent="0.3">
      <c r="A79" s="13">
        <v>76</v>
      </c>
      <c r="B79" s="13">
        <v>78203</v>
      </c>
      <c r="C79" s="13">
        <v>2025</v>
      </c>
      <c r="D79" s="14">
        <v>25.888110000000001</v>
      </c>
      <c r="E79" s="13">
        <v>77191</v>
      </c>
      <c r="F79" s="14">
        <v>0.9722577</v>
      </c>
      <c r="G79" s="14">
        <v>11.862</v>
      </c>
    </row>
    <row r="80" spans="1:7" x14ac:dyDescent="0.3">
      <c r="A80" s="13">
        <v>77</v>
      </c>
      <c r="B80" s="13">
        <v>76179</v>
      </c>
      <c r="C80" s="13">
        <v>2258</v>
      </c>
      <c r="D80" s="14">
        <v>29.645869999999999</v>
      </c>
      <c r="E80" s="13">
        <v>75050</v>
      </c>
      <c r="F80" s="14">
        <v>0.96873600000000004</v>
      </c>
      <c r="G80" s="14">
        <v>11.164</v>
      </c>
    </row>
    <row r="81" spans="1:7" x14ac:dyDescent="0.3">
      <c r="A81" s="13">
        <v>78</v>
      </c>
      <c r="B81" s="13">
        <v>73920</v>
      </c>
      <c r="C81" s="13">
        <v>2434</v>
      </c>
      <c r="D81" s="14">
        <v>32.931609999999999</v>
      </c>
      <c r="E81" s="13">
        <v>72703</v>
      </c>
      <c r="F81" s="14">
        <v>0.96474550000000003</v>
      </c>
      <c r="G81" s="14">
        <v>10.49</v>
      </c>
    </row>
    <row r="82" spans="1:7" x14ac:dyDescent="0.3">
      <c r="A82" s="13">
        <v>79</v>
      </c>
      <c r="B82" s="13">
        <v>71486</v>
      </c>
      <c r="C82" s="13">
        <v>2692</v>
      </c>
      <c r="D82" s="14">
        <v>37.656550000000003</v>
      </c>
      <c r="E82" s="13">
        <v>70140</v>
      </c>
      <c r="F82" s="14">
        <v>0.9599896</v>
      </c>
      <c r="G82" s="14">
        <v>9.83</v>
      </c>
    </row>
    <row r="83" spans="1:7" x14ac:dyDescent="0.3">
      <c r="A83" s="13">
        <v>80</v>
      </c>
      <c r="B83" s="13">
        <v>68794</v>
      </c>
      <c r="C83" s="13">
        <v>2921</v>
      </c>
      <c r="D83" s="14">
        <v>42.456380000000003</v>
      </c>
      <c r="E83" s="13">
        <v>67334</v>
      </c>
      <c r="F83" s="14">
        <v>0.95498289999999997</v>
      </c>
      <c r="G83" s="14">
        <v>9.1950000000000003</v>
      </c>
    </row>
    <row r="84" spans="1:7" x14ac:dyDescent="0.3">
      <c r="A84" s="13">
        <v>81</v>
      </c>
      <c r="B84" s="13">
        <v>65873</v>
      </c>
      <c r="C84" s="13">
        <v>3142</v>
      </c>
      <c r="D84" s="14">
        <v>47.691339999999997</v>
      </c>
      <c r="E84" s="13">
        <v>64303</v>
      </c>
      <c r="F84" s="14">
        <v>0.94947720000000002</v>
      </c>
      <c r="G84" s="14">
        <v>8.5809999999999995</v>
      </c>
    </row>
    <row r="85" spans="1:7" x14ac:dyDescent="0.3">
      <c r="A85" s="13">
        <v>82</v>
      </c>
      <c r="B85" s="13">
        <v>62732</v>
      </c>
      <c r="C85" s="13">
        <v>3356</v>
      </c>
      <c r="D85" s="14">
        <v>53.496090000000002</v>
      </c>
      <c r="E85" s="13">
        <v>61054</v>
      </c>
      <c r="F85" s="14">
        <v>0.94368649999999998</v>
      </c>
      <c r="G85" s="14">
        <v>7.9850000000000003</v>
      </c>
    </row>
    <row r="86" spans="1:7" x14ac:dyDescent="0.3">
      <c r="A86" s="13">
        <v>83</v>
      </c>
      <c r="B86" s="13">
        <v>59376</v>
      </c>
      <c r="C86" s="13">
        <v>3520</v>
      </c>
      <c r="D86" s="14">
        <v>59.290149999999997</v>
      </c>
      <c r="E86" s="13">
        <v>57616</v>
      </c>
      <c r="F86" s="14">
        <v>0.9368185</v>
      </c>
      <c r="G86" s="14">
        <v>7.4080000000000004</v>
      </c>
    </row>
    <row r="87" spans="1:7" x14ac:dyDescent="0.3">
      <c r="A87" s="13">
        <v>84</v>
      </c>
      <c r="B87" s="13">
        <v>55856</v>
      </c>
      <c r="C87" s="13">
        <v>3760</v>
      </c>
      <c r="D87" s="14">
        <v>67.318029999999993</v>
      </c>
      <c r="E87" s="13">
        <v>53975</v>
      </c>
      <c r="F87" s="14">
        <v>0.92759970000000003</v>
      </c>
      <c r="G87" s="14">
        <v>6.8440000000000003</v>
      </c>
    </row>
    <row r="88" spans="1:7" x14ac:dyDescent="0.3">
      <c r="A88" s="13">
        <v>85</v>
      </c>
      <c r="B88" s="13">
        <v>52095</v>
      </c>
      <c r="C88" s="13">
        <v>4056</v>
      </c>
      <c r="D88" s="14">
        <v>77.849329999999995</v>
      </c>
      <c r="E88" s="13">
        <v>50068</v>
      </c>
      <c r="F88" s="14">
        <v>0.915987</v>
      </c>
      <c r="G88" s="14">
        <v>6.3019999999999996</v>
      </c>
    </row>
    <row r="89" spans="1:7" x14ac:dyDescent="0.3">
      <c r="A89" s="13">
        <v>86</v>
      </c>
      <c r="B89" s="13">
        <v>48040</v>
      </c>
      <c r="C89" s="13">
        <v>4357</v>
      </c>
      <c r="D89" s="14">
        <v>90.697090000000003</v>
      </c>
      <c r="E89" s="13">
        <v>45861</v>
      </c>
      <c r="F89" s="14">
        <v>0.9027596</v>
      </c>
      <c r="G89" s="14">
        <v>5.7919999999999998</v>
      </c>
    </row>
    <row r="90" spans="1:7" x14ac:dyDescent="0.3">
      <c r="A90" s="13">
        <v>87</v>
      </c>
      <c r="B90" s="13">
        <v>43683</v>
      </c>
      <c r="C90" s="13">
        <v>4562</v>
      </c>
      <c r="D90" s="14">
        <v>104.43639</v>
      </c>
      <c r="E90" s="13">
        <v>41402</v>
      </c>
      <c r="F90" s="14">
        <v>0.88834310000000005</v>
      </c>
      <c r="G90" s="14">
        <v>5.319</v>
      </c>
    </row>
    <row r="91" spans="1:7" x14ac:dyDescent="0.3">
      <c r="A91" s="13">
        <v>88</v>
      </c>
      <c r="B91" s="13">
        <v>39121</v>
      </c>
      <c r="C91" s="13">
        <v>4684</v>
      </c>
      <c r="D91" s="14">
        <v>119.71934</v>
      </c>
      <c r="E91" s="13">
        <v>36779</v>
      </c>
      <c r="F91" s="14">
        <v>0.87201740000000005</v>
      </c>
      <c r="G91" s="14">
        <v>4.8810000000000002</v>
      </c>
    </row>
    <row r="92" spans="1:7" x14ac:dyDescent="0.3">
      <c r="A92" s="13">
        <v>89</v>
      </c>
      <c r="B92" s="13">
        <v>34437</v>
      </c>
      <c r="C92" s="13">
        <v>4731</v>
      </c>
      <c r="D92" s="14">
        <v>137.36976999999999</v>
      </c>
      <c r="E92" s="13">
        <v>32072</v>
      </c>
      <c r="F92" s="14">
        <v>0.85441789999999995</v>
      </c>
      <c r="G92" s="14">
        <v>4.4770000000000003</v>
      </c>
    </row>
    <row r="93" spans="1:7" x14ac:dyDescent="0.3">
      <c r="A93" s="13">
        <v>90</v>
      </c>
      <c r="B93" s="13">
        <v>29707</v>
      </c>
      <c r="C93" s="13">
        <v>4608</v>
      </c>
      <c r="D93" s="14">
        <v>155.10212999999999</v>
      </c>
      <c r="E93" s="13">
        <v>27403</v>
      </c>
      <c r="F93" s="14">
        <v>0.8367038</v>
      </c>
      <c r="G93" s="14">
        <v>4.1109999999999998</v>
      </c>
    </row>
    <row r="94" spans="1:7" x14ac:dyDescent="0.3">
      <c r="A94" s="13">
        <v>91</v>
      </c>
      <c r="B94" s="13">
        <v>25099</v>
      </c>
      <c r="C94" s="13">
        <v>4342</v>
      </c>
      <c r="D94" s="14">
        <v>172.99444</v>
      </c>
      <c r="E94" s="13">
        <v>22928</v>
      </c>
      <c r="F94" s="14">
        <v>0.81695810000000002</v>
      </c>
      <c r="G94" s="14">
        <v>3.7730000000000001</v>
      </c>
    </row>
    <row r="95" spans="1:7" x14ac:dyDescent="0.3">
      <c r="A95" s="13">
        <v>92</v>
      </c>
      <c r="B95" s="13">
        <v>20757</v>
      </c>
      <c r="C95" s="13">
        <v>4052</v>
      </c>
      <c r="D95" s="14">
        <v>195.19121000000001</v>
      </c>
      <c r="E95" s="13">
        <v>18731</v>
      </c>
      <c r="F95" s="14">
        <v>0.79571210000000003</v>
      </c>
      <c r="G95" s="14">
        <v>3.4580000000000002</v>
      </c>
    </row>
    <row r="96" spans="1:7" x14ac:dyDescent="0.3">
      <c r="A96" s="13">
        <v>93</v>
      </c>
      <c r="B96" s="13">
        <v>16705</v>
      </c>
      <c r="C96" s="13">
        <v>3602</v>
      </c>
      <c r="D96" s="14">
        <v>215.59071</v>
      </c>
      <c r="E96" s="13">
        <v>14905</v>
      </c>
      <c r="F96" s="14">
        <v>0.77311680000000005</v>
      </c>
      <c r="G96" s="14">
        <v>3.1749999999999998</v>
      </c>
    </row>
    <row r="97" spans="1:7" x14ac:dyDescent="0.3">
      <c r="A97" s="13">
        <v>94</v>
      </c>
      <c r="B97" s="13">
        <v>13104</v>
      </c>
      <c r="C97" s="13">
        <v>3162</v>
      </c>
      <c r="D97" s="14">
        <v>241.27948000000001</v>
      </c>
      <c r="E97" s="13">
        <v>11523</v>
      </c>
      <c r="F97" s="14">
        <v>0.74734109999999998</v>
      </c>
      <c r="G97" s="14">
        <v>2.911</v>
      </c>
    </row>
    <row r="98" spans="1:7" x14ac:dyDescent="0.3">
      <c r="A98" s="13">
        <v>95</v>
      </c>
      <c r="B98" s="13">
        <v>9942</v>
      </c>
      <c r="C98" s="13">
        <v>2661</v>
      </c>
      <c r="D98" s="14">
        <v>267.65714000000003</v>
      </c>
      <c r="E98" s="13">
        <v>8612</v>
      </c>
      <c r="F98" s="14">
        <v>0.72173399999999999</v>
      </c>
      <c r="G98" s="14">
        <v>2.677</v>
      </c>
    </row>
    <row r="99" spans="1:7" x14ac:dyDescent="0.3">
      <c r="A99" s="13">
        <v>96</v>
      </c>
      <c r="B99" s="13">
        <v>7281</v>
      </c>
      <c r="C99" s="13">
        <v>2132</v>
      </c>
      <c r="D99" s="14">
        <v>292.75209999999998</v>
      </c>
      <c r="E99" s="13">
        <v>6215</v>
      </c>
      <c r="F99" s="14">
        <v>0.69746710000000001</v>
      </c>
      <c r="G99" s="14">
        <v>2.4729999999999999</v>
      </c>
    </row>
    <row r="100" spans="1:7" x14ac:dyDescent="0.3">
      <c r="A100" s="13">
        <v>97</v>
      </c>
      <c r="B100" s="13">
        <v>5150</v>
      </c>
      <c r="C100" s="13">
        <v>1629</v>
      </c>
      <c r="D100" s="14">
        <v>316.36218000000002</v>
      </c>
      <c r="E100" s="13">
        <v>4335</v>
      </c>
      <c r="F100" s="14">
        <v>0.67395349999999998</v>
      </c>
      <c r="G100" s="14">
        <v>2.29</v>
      </c>
    </row>
    <row r="101" spans="1:7" x14ac:dyDescent="0.3">
      <c r="A101" s="13">
        <v>98</v>
      </c>
      <c r="B101" s="13">
        <v>3520</v>
      </c>
      <c r="C101" s="13">
        <v>1198</v>
      </c>
      <c r="D101" s="14">
        <v>340.21233000000001</v>
      </c>
      <c r="E101" s="13">
        <v>2922</v>
      </c>
      <c r="F101" s="14">
        <v>0.64942449999999996</v>
      </c>
      <c r="G101" s="14">
        <v>2.1179999999999999</v>
      </c>
    </row>
    <row r="102" spans="1:7" x14ac:dyDescent="0.3">
      <c r="A102" s="13">
        <v>99</v>
      </c>
      <c r="B102" s="13">
        <v>2323</v>
      </c>
      <c r="C102" s="13">
        <v>851</v>
      </c>
      <c r="D102" s="14">
        <v>366.28239000000002</v>
      </c>
      <c r="E102" s="13">
        <v>1897</v>
      </c>
      <c r="F102" s="14">
        <v>0.6217606</v>
      </c>
      <c r="G102" s="14">
        <v>1.9530000000000001</v>
      </c>
    </row>
    <row r="103" spans="1:7" x14ac:dyDescent="0.3">
      <c r="A103" s="13">
        <v>100</v>
      </c>
      <c r="B103" s="13">
        <v>1472</v>
      </c>
      <c r="C103" s="13">
        <v>585</v>
      </c>
      <c r="D103" s="14">
        <v>397.10755</v>
      </c>
      <c r="E103" s="13">
        <v>1180</v>
      </c>
      <c r="F103" s="14">
        <v>0.58932770000000001</v>
      </c>
      <c r="G103" s="14">
        <v>1.7929999999999999</v>
      </c>
    </row>
    <row r="104" spans="1:7" x14ac:dyDescent="0.3">
      <c r="A104" s="13">
        <v>101</v>
      </c>
      <c r="B104" s="13">
        <v>887</v>
      </c>
      <c r="C104" s="13">
        <v>384</v>
      </c>
      <c r="D104" s="14">
        <v>433.17162999999999</v>
      </c>
      <c r="E104" s="13">
        <v>695</v>
      </c>
      <c r="F104" s="14">
        <v>0.55518670000000003</v>
      </c>
      <c r="G104" s="14">
        <v>1.6439999999999999</v>
      </c>
    </row>
    <row r="105" spans="1:7" x14ac:dyDescent="0.3">
      <c r="A105" s="13">
        <v>102</v>
      </c>
      <c r="B105" s="13">
        <v>503</v>
      </c>
      <c r="C105" s="13">
        <v>234</v>
      </c>
      <c r="D105" s="14">
        <v>465.35169000000002</v>
      </c>
      <c r="E105" s="13">
        <v>386</v>
      </c>
      <c r="F105" s="14">
        <v>0.52331660000000002</v>
      </c>
      <c r="G105" s="14">
        <v>1.5189999999999999</v>
      </c>
    </row>
    <row r="106" spans="1:7" x14ac:dyDescent="0.3">
      <c r="A106" s="13">
        <v>103</v>
      </c>
      <c r="B106" s="13">
        <v>269</v>
      </c>
      <c r="C106" s="13">
        <v>134</v>
      </c>
      <c r="D106" s="14">
        <v>497.87804</v>
      </c>
      <c r="E106" s="13">
        <v>202</v>
      </c>
      <c r="F106" s="14">
        <v>0.49122519999999997</v>
      </c>
      <c r="G106" s="14">
        <v>1.4059999999999999</v>
      </c>
    </row>
    <row r="107" spans="1:7" x14ac:dyDescent="0.3">
      <c r="A107" s="13">
        <v>104</v>
      </c>
      <c r="B107" s="13">
        <v>135</v>
      </c>
      <c r="C107" s="13">
        <v>72</v>
      </c>
      <c r="D107" s="14">
        <v>530.47609999999997</v>
      </c>
      <c r="E107" s="13">
        <v>99</v>
      </c>
      <c r="F107" s="14">
        <v>0.45917479999999999</v>
      </c>
      <c r="G107" s="14">
        <v>1.304</v>
      </c>
    </row>
    <row r="108" spans="1:7" x14ac:dyDescent="0.3">
      <c r="A108" s="13">
        <v>105</v>
      </c>
      <c r="B108" s="13">
        <v>63</v>
      </c>
      <c r="C108" s="13">
        <v>36</v>
      </c>
      <c r="D108" s="14">
        <v>562.86686999999995</v>
      </c>
      <c r="E108" s="13">
        <v>46</v>
      </c>
      <c r="F108" s="14">
        <v>0.42742619999999998</v>
      </c>
      <c r="G108" s="14">
        <v>1.2130000000000001</v>
      </c>
    </row>
    <row r="109" spans="1:7" x14ac:dyDescent="0.3">
      <c r="A109" s="13">
        <v>106</v>
      </c>
      <c r="B109" s="13">
        <v>28</v>
      </c>
      <c r="C109" s="13">
        <v>16</v>
      </c>
      <c r="D109" s="14">
        <v>594.77977999999996</v>
      </c>
      <c r="E109" s="13">
        <v>19</v>
      </c>
      <c r="F109" s="14">
        <v>0.39623029999999998</v>
      </c>
      <c r="G109" s="14">
        <v>1.1319999999999999</v>
      </c>
    </row>
    <row r="110" spans="1:7" x14ac:dyDescent="0.3">
      <c r="A110" s="13">
        <v>107</v>
      </c>
      <c r="B110" s="13">
        <v>11</v>
      </c>
      <c r="C110" s="13">
        <v>7</v>
      </c>
      <c r="D110" s="14">
        <v>625.95505000000003</v>
      </c>
      <c r="E110" s="13">
        <v>8</v>
      </c>
      <c r="F110" s="14">
        <v>0.3658228</v>
      </c>
      <c r="G110" s="14">
        <v>1.0589999999999999</v>
      </c>
    </row>
    <row r="111" spans="1:7" x14ac:dyDescent="0.3">
      <c r="A111" s="13">
        <v>108</v>
      </c>
      <c r="B111" s="13">
        <v>4</v>
      </c>
      <c r="C111" s="13">
        <v>3</v>
      </c>
      <c r="D111" s="14">
        <v>656.15873999999997</v>
      </c>
      <c r="E111" s="13">
        <v>3</v>
      </c>
      <c r="F111" s="14">
        <v>0.33641450000000001</v>
      </c>
      <c r="G111" s="14">
        <v>0.99399999999999999</v>
      </c>
    </row>
    <row r="112" spans="1:7" x14ac:dyDescent="0.3">
      <c r="A112" s="13">
        <v>109</v>
      </c>
      <c r="B112" s="13">
        <v>1</v>
      </c>
      <c r="C112" s="13">
        <v>1</v>
      </c>
      <c r="D112" s="14">
        <v>685.18502000000001</v>
      </c>
      <c r="E112" s="13">
        <v>1</v>
      </c>
      <c r="F112" s="14">
        <v>0.30818950000000001</v>
      </c>
      <c r="G112" s="14">
        <v>0.93600000000000005</v>
      </c>
    </row>
    <row r="113" spans="1:7" x14ac:dyDescent="0.3">
      <c r="A113" s="13">
        <v>110</v>
      </c>
      <c r="B113" s="13">
        <v>0</v>
      </c>
      <c r="C113" s="13">
        <v>0</v>
      </c>
      <c r="D113" s="14">
        <v>712.85617000000002</v>
      </c>
      <c r="E113" s="13">
        <v>0</v>
      </c>
      <c r="F113" s="14">
        <v>0.28130490000000002</v>
      </c>
      <c r="G113" s="14">
        <v>0.88400000000000001</v>
      </c>
    </row>
    <row r="114" spans="1:7" x14ac:dyDescent="0.3">
      <c r="A114" s="13">
        <v>111</v>
      </c>
      <c r="B114" s="13">
        <v>0</v>
      </c>
      <c r="C114" s="13">
        <v>0</v>
      </c>
      <c r="D114" s="14">
        <v>739.02945</v>
      </c>
      <c r="E114" s="13">
        <v>0</v>
      </c>
      <c r="F114" s="14">
        <v>0.25588610000000001</v>
      </c>
      <c r="G114" s="14">
        <v>0.83899999999999997</v>
      </c>
    </row>
    <row r="115" spans="1:7" x14ac:dyDescent="0.3">
      <c r="A115" s="13">
        <v>112</v>
      </c>
      <c r="B115" s="13">
        <v>0</v>
      </c>
      <c r="C115" s="13">
        <v>0</v>
      </c>
      <c r="D115" s="14">
        <v>763.59664999999995</v>
      </c>
      <c r="E115" s="13">
        <v>0</v>
      </c>
      <c r="F115" s="14">
        <v>0.23202829999999999</v>
      </c>
      <c r="G115" s="14">
        <v>0.79900000000000004</v>
      </c>
    </row>
    <row r="116" spans="1:7" x14ac:dyDescent="0.3">
      <c r="A116" s="13">
        <v>113</v>
      </c>
      <c r="B116" s="13">
        <v>0</v>
      </c>
      <c r="C116" s="13">
        <v>0</v>
      </c>
      <c r="D116" s="14">
        <v>786.47859000000005</v>
      </c>
      <c r="E116" s="13">
        <v>0</v>
      </c>
      <c r="F116" s="14">
        <v>0.2098004</v>
      </c>
      <c r="G116" s="14">
        <v>0.76300000000000001</v>
      </c>
    </row>
    <row r="117" spans="1:7" x14ac:dyDescent="0.3">
      <c r="A117" s="13">
        <v>114</v>
      </c>
      <c r="B117" s="13">
        <v>0</v>
      </c>
      <c r="C117" s="13">
        <v>0</v>
      </c>
      <c r="D117" s="14">
        <v>807.62653</v>
      </c>
      <c r="E117" s="13">
        <v>0</v>
      </c>
      <c r="F117" s="14">
        <v>0.18924460000000001</v>
      </c>
      <c r="G117" s="14">
        <v>0.73199999999999998</v>
      </c>
    </row>
    <row r="118" spans="1:7" x14ac:dyDescent="0.3">
      <c r="A118" s="13">
        <v>115</v>
      </c>
      <c r="B118" s="13">
        <v>0</v>
      </c>
      <c r="C118" s="13">
        <v>0</v>
      </c>
      <c r="D118" s="14">
        <v>827.02021000000002</v>
      </c>
      <c r="E118" s="13">
        <v>0</v>
      </c>
      <c r="F118" s="14">
        <v>0.17037769999999999</v>
      </c>
      <c r="G118" s="14">
        <v>0.70399999999999996</v>
      </c>
    </row>
    <row r="119" spans="1:7" x14ac:dyDescent="0.3">
      <c r="A119" s="13">
        <v>116</v>
      </c>
      <c r="B119" s="13">
        <v>0</v>
      </c>
      <c r="C119" s="13">
        <v>0</v>
      </c>
      <c r="D119" s="14">
        <v>844.66526999999996</v>
      </c>
      <c r="E119" s="13">
        <v>0</v>
      </c>
      <c r="F119" s="14">
        <v>0.1531941</v>
      </c>
      <c r="G119" s="14">
        <v>0.68</v>
      </c>
    </row>
    <row r="120" spans="1:7" x14ac:dyDescent="0.3">
      <c r="A120" s="13">
        <v>117</v>
      </c>
      <c r="B120" s="13">
        <v>0</v>
      </c>
      <c r="C120" s="13">
        <v>0</v>
      </c>
      <c r="D120" s="14">
        <v>860.58689000000004</v>
      </c>
      <c r="E120" s="13">
        <v>0</v>
      </c>
      <c r="F120" s="14">
        <v>0.13766970000000001</v>
      </c>
      <c r="G120" s="14">
        <v>0.65900000000000003</v>
      </c>
    </row>
    <row r="121" spans="1:7" x14ac:dyDescent="0.3">
      <c r="A121" s="13">
        <v>118</v>
      </c>
      <c r="B121" s="13">
        <v>0</v>
      </c>
      <c r="C121" s="13">
        <v>0</v>
      </c>
      <c r="D121" s="14">
        <v>874.83605</v>
      </c>
      <c r="E121" s="13">
        <v>0</v>
      </c>
      <c r="F121" s="14">
        <v>0.1237579</v>
      </c>
      <c r="G121" s="14">
        <v>0.64100000000000001</v>
      </c>
    </row>
    <row r="122" spans="1:7" x14ac:dyDescent="0.3">
      <c r="A122" s="13">
        <v>119</v>
      </c>
      <c r="B122" s="13">
        <v>0</v>
      </c>
      <c r="C122" s="13">
        <v>0</v>
      </c>
      <c r="D122" s="14">
        <v>887.47596999999996</v>
      </c>
      <c r="E122" s="13">
        <v>0</v>
      </c>
      <c r="F122" s="14">
        <v>0.1114</v>
      </c>
      <c r="G122" s="14">
        <v>0.625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C56A-7244-5341-9E7F-BBE1330662BC}">
  <dimension ref="A1:G122"/>
  <sheetViews>
    <sheetView workbookViewId="0">
      <selection activeCell="D63" sqref="D63"/>
    </sheetView>
  </sheetViews>
  <sheetFormatPr defaultColWidth="11.19921875" defaultRowHeight="15.6" x14ac:dyDescent="0.3"/>
  <cols>
    <col min="1" max="1" width="10.796875" customWidth="1"/>
    <col min="2" max="2" width="13.5" customWidth="1"/>
    <col min="4" max="4" width="27.296875" customWidth="1"/>
    <col min="5" max="5" width="12.5" customWidth="1"/>
    <col min="6" max="6" width="34.19921875" customWidth="1"/>
    <col min="7" max="7" width="15.296875" customWidth="1"/>
  </cols>
  <sheetData>
    <row r="1" spans="1:7" ht="22.95" customHeight="1" x14ac:dyDescent="0.3">
      <c r="A1" s="112" t="s">
        <v>16</v>
      </c>
      <c r="B1" s="112"/>
      <c r="C1" s="112"/>
      <c r="D1" s="112"/>
      <c r="E1" s="112"/>
      <c r="F1" s="112"/>
      <c r="G1" s="112"/>
    </row>
    <row r="2" spans="1:7" x14ac:dyDescent="0.3">
      <c r="A2" s="17" t="s">
        <v>9</v>
      </c>
      <c r="B2" s="17" t="s">
        <v>10</v>
      </c>
      <c r="C2" s="17" t="s">
        <v>11</v>
      </c>
      <c r="D2" s="17" t="s">
        <v>12</v>
      </c>
      <c r="E2" s="17" t="s">
        <v>13</v>
      </c>
      <c r="F2" s="17" t="s">
        <v>14</v>
      </c>
      <c r="G2" s="17" t="s">
        <v>15</v>
      </c>
    </row>
    <row r="3" spans="1:7" x14ac:dyDescent="0.3">
      <c r="A3" s="16">
        <v>0</v>
      </c>
      <c r="B3" s="16">
        <v>100000</v>
      </c>
      <c r="C3" s="16">
        <v>249</v>
      </c>
      <c r="D3">
        <v>2.4929100000000002</v>
      </c>
      <c r="E3" s="16">
        <v>99765</v>
      </c>
      <c r="F3">
        <v>0.99975480000000005</v>
      </c>
      <c r="G3">
        <v>80.59</v>
      </c>
    </row>
    <row r="4" spans="1:7" x14ac:dyDescent="0.3">
      <c r="A4" s="16">
        <v>1</v>
      </c>
      <c r="B4" s="16">
        <v>99751</v>
      </c>
      <c r="C4" s="16">
        <v>20</v>
      </c>
      <c r="D4">
        <v>0.19564000000000001</v>
      </c>
      <c r="E4" s="16">
        <v>99741</v>
      </c>
      <c r="F4">
        <v>0.99983160000000004</v>
      </c>
      <c r="G4">
        <v>79.790000000000006</v>
      </c>
    </row>
    <row r="5" spans="1:7" x14ac:dyDescent="0.3">
      <c r="A5" s="16">
        <v>2</v>
      </c>
      <c r="B5" s="16">
        <v>99731</v>
      </c>
      <c r="C5" s="16">
        <v>14</v>
      </c>
      <c r="D5">
        <v>0.14113999999999999</v>
      </c>
      <c r="E5" s="16">
        <v>99724</v>
      </c>
      <c r="F5">
        <v>0.99987599999999999</v>
      </c>
      <c r="G5">
        <v>78.805000000000007</v>
      </c>
    </row>
    <row r="6" spans="1:7" x14ac:dyDescent="0.3">
      <c r="A6" s="16">
        <v>3</v>
      </c>
      <c r="B6" s="16">
        <v>99717</v>
      </c>
      <c r="C6" s="16">
        <v>11</v>
      </c>
      <c r="D6">
        <v>0.10689</v>
      </c>
      <c r="E6" s="16">
        <v>99712</v>
      </c>
      <c r="F6">
        <v>0.9999034</v>
      </c>
      <c r="G6">
        <v>77.816000000000003</v>
      </c>
    </row>
    <row r="7" spans="1:7" x14ac:dyDescent="0.3">
      <c r="A7" s="16">
        <v>4</v>
      </c>
      <c r="B7" s="16">
        <v>99706</v>
      </c>
      <c r="C7" s="16">
        <v>9</v>
      </c>
      <c r="D7">
        <v>8.6330000000000004E-2</v>
      </c>
      <c r="E7" s="16">
        <v>99702</v>
      </c>
      <c r="F7">
        <v>0.99991399999999997</v>
      </c>
      <c r="G7">
        <v>76.825000000000003</v>
      </c>
    </row>
    <row r="8" spans="1:7" x14ac:dyDescent="0.3">
      <c r="A8" s="16">
        <v>5</v>
      </c>
      <c r="B8" s="16">
        <v>99698</v>
      </c>
      <c r="C8" s="16">
        <v>9</v>
      </c>
      <c r="D8">
        <v>8.5650000000000004E-2</v>
      </c>
      <c r="E8" s="16">
        <v>99694</v>
      </c>
      <c r="F8">
        <v>0.99991609999999997</v>
      </c>
      <c r="G8">
        <v>75.831000000000003</v>
      </c>
    </row>
    <row r="9" spans="1:7" x14ac:dyDescent="0.3">
      <c r="A9" s="16">
        <v>6</v>
      </c>
      <c r="B9" s="16">
        <v>99689</v>
      </c>
      <c r="C9" s="16">
        <v>8</v>
      </c>
      <c r="D9">
        <v>8.2089999999999996E-2</v>
      </c>
      <c r="E9" s="16">
        <v>99685</v>
      </c>
      <c r="F9">
        <v>0.99992029999999998</v>
      </c>
      <c r="G9">
        <v>74.837999999999994</v>
      </c>
    </row>
    <row r="10" spans="1:7" x14ac:dyDescent="0.3">
      <c r="A10" s="16">
        <v>7</v>
      </c>
      <c r="B10" s="16">
        <v>99681</v>
      </c>
      <c r="C10" s="16">
        <v>8</v>
      </c>
      <c r="D10">
        <v>7.7289999999999998E-2</v>
      </c>
      <c r="E10" s="16">
        <v>99677</v>
      </c>
      <c r="F10">
        <v>0.99992879999999995</v>
      </c>
      <c r="G10">
        <v>73.843999999999994</v>
      </c>
    </row>
    <row r="11" spans="1:7" x14ac:dyDescent="0.3">
      <c r="A11" s="16">
        <v>8</v>
      </c>
      <c r="B11" s="16">
        <v>99673</v>
      </c>
      <c r="C11" s="16">
        <v>6</v>
      </c>
      <c r="D11">
        <v>6.5100000000000005E-2</v>
      </c>
      <c r="E11" s="16">
        <v>99670</v>
      </c>
      <c r="F11">
        <v>0.99993469999999995</v>
      </c>
      <c r="G11">
        <v>72.849000000000004</v>
      </c>
    </row>
    <row r="12" spans="1:7" x14ac:dyDescent="0.3">
      <c r="A12" s="16">
        <v>9</v>
      </c>
      <c r="B12" s="16">
        <v>99667</v>
      </c>
      <c r="C12" s="16">
        <v>7</v>
      </c>
      <c r="D12">
        <v>6.5559999999999993E-2</v>
      </c>
      <c r="E12" s="16">
        <v>99664</v>
      </c>
      <c r="F12">
        <v>0.99993290000000001</v>
      </c>
      <c r="G12">
        <v>71.853999999999999</v>
      </c>
    </row>
    <row r="13" spans="1:7" x14ac:dyDescent="0.3">
      <c r="A13" s="16">
        <v>10</v>
      </c>
      <c r="B13" s="16">
        <v>99660</v>
      </c>
      <c r="C13" s="16">
        <v>7</v>
      </c>
      <c r="D13">
        <v>6.8599999999999994E-2</v>
      </c>
      <c r="E13" s="16">
        <v>99657</v>
      </c>
      <c r="F13">
        <v>0.99992899999999996</v>
      </c>
      <c r="G13">
        <v>70.858999999999995</v>
      </c>
    </row>
    <row r="14" spans="1:7" x14ac:dyDescent="0.3">
      <c r="A14" s="16">
        <v>11</v>
      </c>
      <c r="B14" s="16">
        <v>99654</v>
      </c>
      <c r="C14" s="16">
        <v>7</v>
      </c>
      <c r="D14">
        <v>7.3359999999999995E-2</v>
      </c>
      <c r="E14" s="16">
        <v>99650</v>
      </c>
      <c r="F14">
        <v>0.99992259999999999</v>
      </c>
      <c r="G14">
        <v>69.864000000000004</v>
      </c>
    </row>
    <row r="15" spans="1:7" x14ac:dyDescent="0.3">
      <c r="A15" s="16">
        <v>12</v>
      </c>
      <c r="B15" s="16">
        <v>99646</v>
      </c>
      <c r="C15" s="16">
        <v>8</v>
      </c>
      <c r="D15">
        <v>8.1420000000000006E-2</v>
      </c>
      <c r="E15" s="16">
        <v>99642</v>
      </c>
      <c r="F15">
        <v>0.99991070000000004</v>
      </c>
      <c r="G15">
        <v>68.869</v>
      </c>
    </row>
    <row r="16" spans="1:7" x14ac:dyDescent="0.3">
      <c r="A16" s="16">
        <v>13</v>
      </c>
      <c r="B16" s="16">
        <v>99638</v>
      </c>
      <c r="C16" s="16">
        <v>10</v>
      </c>
      <c r="D16">
        <v>9.7259999999999999E-2</v>
      </c>
      <c r="E16" s="16">
        <v>99633</v>
      </c>
      <c r="F16">
        <v>0.99988949999999999</v>
      </c>
      <c r="G16">
        <v>67.873999999999995</v>
      </c>
    </row>
    <row r="17" spans="1:7" x14ac:dyDescent="0.3">
      <c r="A17" s="16">
        <v>14</v>
      </c>
      <c r="B17" s="16">
        <v>99628</v>
      </c>
      <c r="C17" s="16">
        <v>12</v>
      </c>
      <c r="D17">
        <v>0.12384000000000001</v>
      </c>
      <c r="E17" s="16">
        <v>99622</v>
      </c>
      <c r="F17">
        <v>0.99985749999999995</v>
      </c>
      <c r="G17">
        <v>66.881</v>
      </c>
    </row>
    <row r="18" spans="1:7" x14ac:dyDescent="0.3">
      <c r="A18" s="16">
        <v>15</v>
      </c>
      <c r="B18" s="16">
        <v>99616</v>
      </c>
      <c r="C18" s="16">
        <v>16</v>
      </c>
      <c r="D18">
        <v>0.16109999999999999</v>
      </c>
      <c r="E18" s="16">
        <v>99608</v>
      </c>
      <c r="F18">
        <v>0.99981350000000002</v>
      </c>
      <c r="G18">
        <v>65.888999999999996</v>
      </c>
    </row>
    <row r="19" spans="1:7" x14ac:dyDescent="0.3">
      <c r="A19" s="16">
        <v>16</v>
      </c>
      <c r="B19" s="16">
        <v>99600</v>
      </c>
      <c r="C19" s="16">
        <v>21</v>
      </c>
      <c r="D19">
        <v>0.21184</v>
      </c>
      <c r="E19" s="16">
        <v>99590</v>
      </c>
      <c r="F19">
        <v>0.99976069999999995</v>
      </c>
      <c r="G19">
        <v>64.900000000000006</v>
      </c>
    </row>
    <row r="20" spans="1:7" x14ac:dyDescent="0.3">
      <c r="A20" s="16">
        <v>17</v>
      </c>
      <c r="B20" s="16">
        <v>99579</v>
      </c>
      <c r="C20" s="16">
        <v>27</v>
      </c>
      <c r="D20">
        <v>0.26676</v>
      </c>
      <c r="E20" s="16">
        <v>99566</v>
      </c>
      <c r="F20">
        <v>0.99971299999999996</v>
      </c>
      <c r="G20">
        <v>63.912999999999997</v>
      </c>
    </row>
    <row r="21" spans="1:7" x14ac:dyDescent="0.3">
      <c r="A21" s="16">
        <v>18</v>
      </c>
      <c r="B21" s="16">
        <v>99552</v>
      </c>
      <c r="C21" s="16">
        <v>31</v>
      </c>
      <c r="D21">
        <v>0.30731999999999998</v>
      </c>
      <c r="E21" s="16">
        <v>99537</v>
      </c>
      <c r="F21">
        <v>0.99967510000000004</v>
      </c>
      <c r="G21">
        <v>62.93</v>
      </c>
    </row>
    <row r="22" spans="1:7" x14ac:dyDescent="0.3">
      <c r="A22" s="16">
        <v>19</v>
      </c>
      <c r="B22" s="16">
        <v>99522</v>
      </c>
      <c r="C22" s="16">
        <v>34</v>
      </c>
      <c r="D22">
        <v>0.34253</v>
      </c>
      <c r="E22" s="16">
        <v>99505</v>
      </c>
      <c r="F22">
        <v>0.99964350000000002</v>
      </c>
      <c r="G22">
        <v>61.948999999999998</v>
      </c>
    </row>
    <row r="23" spans="1:7" x14ac:dyDescent="0.3">
      <c r="A23" s="16">
        <v>20</v>
      </c>
      <c r="B23" s="16">
        <v>99488</v>
      </c>
      <c r="C23" s="16">
        <v>37</v>
      </c>
      <c r="D23">
        <v>0.37043999999999999</v>
      </c>
      <c r="E23" s="16">
        <v>99469</v>
      </c>
      <c r="F23">
        <v>0.99962470000000003</v>
      </c>
      <c r="G23">
        <v>60.97</v>
      </c>
    </row>
    <row r="24" spans="1:7" x14ac:dyDescent="0.3">
      <c r="A24" s="16">
        <v>21</v>
      </c>
      <c r="B24" s="16">
        <v>99451</v>
      </c>
      <c r="C24" s="16">
        <v>38</v>
      </c>
      <c r="D24">
        <v>0.38013000000000002</v>
      </c>
      <c r="E24" s="16">
        <v>99432</v>
      </c>
      <c r="F24">
        <v>0.99961860000000002</v>
      </c>
      <c r="G24">
        <v>59.993000000000002</v>
      </c>
    </row>
    <row r="25" spans="1:7" x14ac:dyDescent="0.3">
      <c r="A25" s="16">
        <v>22</v>
      </c>
      <c r="B25" s="16">
        <v>99413</v>
      </c>
      <c r="C25" s="16">
        <v>38</v>
      </c>
      <c r="D25">
        <v>0.38267000000000001</v>
      </c>
      <c r="E25" s="16">
        <v>99394</v>
      </c>
      <c r="F25">
        <v>0.99961460000000002</v>
      </c>
      <c r="G25">
        <v>59.015999999999998</v>
      </c>
    </row>
    <row r="26" spans="1:7" x14ac:dyDescent="0.3">
      <c r="A26" s="16">
        <v>23</v>
      </c>
      <c r="B26" s="16">
        <v>99375</v>
      </c>
      <c r="C26" s="16">
        <v>39</v>
      </c>
      <c r="D26">
        <v>0.38805000000000001</v>
      </c>
      <c r="E26" s="16">
        <v>99356</v>
      </c>
      <c r="F26">
        <v>0.99960959999999999</v>
      </c>
      <c r="G26">
        <v>58.037999999999997</v>
      </c>
    </row>
    <row r="27" spans="1:7" x14ac:dyDescent="0.3">
      <c r="A27" s="16">
        <v>24</v>
      </c>
      <c r="B27" s="16">
        <v>99336</v>
      </c>
      <c r="C27" s="16">
        <v>39</v>
      </c>
      <c r="D27">
        <v>0.39267000000000002</v>
      </c>
      <c r="E27" s="16">
        <v>99317</v>
      </c>
      <c r="F27">
        <v>0.99960179999999998</v>
      </c>
      <c r="G27">
        <v>57.06</v>
      </c>
    </row>
    <row r="28" spans="1:7" x14ac:dyDescent="0.3">
      <c r="A28" s="16">
        <v>25</v>
      </c>
      <c r="B28" s="16">
        <v>99297</v>
      </c>
      <c r="C28" s="16">
        <v>40</v>
      </c>
      <c r="D28">
        <v>0.40381</v>
      </c>
      <c r="E28" s="16">
        <v>99277</v>
      </c>
      <c r="F28">
        <v>0.99958309999999995</v>
      </c>
      <c r="G28">
        <v>56.082000000000001</v>
      </c>
    </row>
    <row r="29" spans="1:7" x14ac:dyDescent="0.3">
      <c r="A29" s="16">
        <v>26</v>
      </c>
      <c r="B29" s="16">
        <v>99257</v>
      </c>
      <c r="C29" s="16">
        <v>43</v>
      </c>
      <c r="D29">
        <v>0.43</v>
      </c>
      <c r="E29" s="16">
        <v>99236</v>
      </c>
      <c r="F29">
        <v>0.99955709999999998</v>
      </c>
      <c r="G29">
        <v>55.104999999999997</v>
      </c>
    </row>
    <row r="30" spans="1:7" x14ac:dyDescent="0.3">
      <c r="A30" s="16">
        <v>27</v>
      </c>
      <c r="B30" s="16">
        <v>99215</v>
      </c>
      <c r="C30" s="16">
        <v>45</v>
      </c>
      <c r="D30">
        <v>0.45571</v>
      </c>
      <c r="E30" s="16">
        <v>99192</v>
      </c>
      <c r="F30">
        <v>0.99953740000000002</v>
      </c>
      <c r="G30">
        <v>54.128</v>
      </c>
    </row>
    <row r="31" spans="1:7" x14ac:dyDescent="0.3">
      <c r="A31" s="16">
        <v>28</v>
      </c>
      <c r="B31" s="16">
        <v>99169</v>
      </c>
      <c r="C31" s="16">
        <v>47</v>
      </c>
      <c r="D31">
        <v>0.46949000000000002</v>
      </c>
      <c r="E31" s="16">
        <v>99146</v>
      </c>
      <c r="F31">
        <v>0.99952660000000004</v>
      </c>
      <c r="G31">
        <v>53.152999999999999</v>
      </c>
    </row>
    <row r="32" spans="1:7" x14ac:dyDescent="0.3">
      <c r="A32" s="16">
        <v>29</v>
      </c>
      <c r="B32" s="16">
        <v>99123</v>
      </c>
      <c r="C32" s="16">
        <v>47</v>
      </c>
      <c r="D32">
        <v>0.47728999999999999</v>
      </c>
      <c r="E32" s="16">
        <v>99099</v>
      </c>
      <c r="F32">
        <v>0.99951579999999995</v>
      </c>
      <c r="G32">
        <v>52.177999999999997</v>
      </c>
    </row>
    <row r="33" spans="1:7" x14ac:dyDescent="0.3">
      <c r="A33" s="16">
        <v>30</v>
      </c>
      <c r="B33" s="16">
        <v>99076</v>
      </c>
      <c r="C33" s="16">
        <v>49</v>
      </c>
      <c r="D33">
        <v>0.49112</v>
      </c>
      <c r="E33" s="16">
        <v>99051</v>
      </c>
      <c r="F33">
        <v>0.99949790000000005</v>
      </c>
      <c r="G33">
        <v>51.201999999999998</v>
      </c>
    </row>
    <row r="34" spans="1:7" x14ac:dyDescent="0.3">
      <c r="A34" s="16">
        <v>31</v>
      </c>
      <c r="B34" s="16">
        <v>99027</v>
      </c>
      <c r="C34" s="16">
        <v>51</v>
      </c>
      <c r="D34">
        <v>0.51312000000000002</v>
      </c>
      <c r="E34" s="16">
        <v>99002</v>
      </c>
      <c r="F34">
        <v>0.99948060000000005</v>
      </c>
      <c r="G34">
        <v>50.226999999999997</v>
      </c>
    </row>
    <row r="35" spans="1:7" x14ac:dyDescent="0.3">
      <c r="A35" s="16">
        <v>32</v>
      </c>
      <c r="B35" s="16">
        <v>98976</v>
      </c>
      <c r="C35" s="16">
        <v>52</v>
      </c>
      <c r="D35">
        <v>0.52563000000000004</v>
      </c>
      <c r="E35" s="16">
        <v>98950</v>
      </c>
      <c r="F35">
        <v>0.99945620000000002</v>
      </c>
      <c r="G35">
        <v>49.253</v>
      </c>
    </row>
    <row r="36" spans="1:7" x14ac:dyDescent="0.3">
      <c r="A36" s="16">
        <v>33</v>
      </c>
      <c r="B36" s="16">
        <v>98924</v>
      </c>
      <c r="C36" s="16">
        <v>56</v>
      </c>
      <c r="D36">
        <v>0.56191999999999998</v>
      </c>
      <c r="E36" s="16">
        <v>98896</v>
      </c>
      <c r="F36">
        <v>0.99941610000000003</v>
      </c>
      <c r="G36">
        <v>48.277999999999999</v>
      </c>
    </row>
    <row r="37" spans="1:7" x14ac:dyDescent="0.3">
      <c r="A37" s="16">
        <v>34</v>
      </c>
      <c r="B37" s="16">
        <v>98869</v>
      </c>
      <c r="C37" s="16">
        <v>60</v>
      </c>
      <c r="D37">
        <v>0.60580999999999996</v>
      </c>
      <c r="E37" s="16">
        <v>98839</v>
      </c>
      <c r="F37">
        <v>0.9993784</v>
      </c>
      <c r="G37">
        <v>47.305</v>
      </c>
    </row>
    <row r="38" spans="1:7" x14ac:dyDescent="0.3">
      <c r="A38" s="16">
        <v>35</v>
      </c>
      <c r="B38" s="16">
        <v>98809</v>
      </c>
      <c r="C38" s="16">
        <v>63</v>
      </c>
      <c r="D38">
        <v>0.63739000000000001</v>
      </c>
      <c r="E38" s="16">
        <v>98777</v>
      </c>
      <c r="F38">
        <v>0.99934219999999996</v>
      </c>
      <c r="G38">
        <v>46.334000000000003</v>
      </c>
    </row>
    <row r="39" spans="1:7" x14ac:dyDescent="0.3">
      <c r="A39" s="16">
        <v>36</v>
      </c>
      <c r="B39" s="16">
        <v>98746</v>
      </c>
      <c r="C39" s="16">
        <v>67</v>
      </c>
      <c r="D39">
        <v>0.67813000000000001</v>
      </c>
      <c r="E39" s="16">
        <v>98712</v>
      </c>
      <c r="F39">
        <v>0.99928939999999999</v>
      </c>
      <c r="G39">
        <v>45.363</v>
      </c>
    </row>
    <row r="40" spans="1:7" x14ac:dyDescent="0.3">
      <c r="A40" s="16">
        <v>37</v>
      </c>
      <c r="B40" s="16">
        <v>98679</v>
      </c>
      <c r="C40" s="16">
        <v>73</v>
      </c>
      <c r="D40">
        <v>0.74309999999999998</v>
      </c>
      <c r="E40" s="16">
        <v>98642</v>
      </c>
      <c r="F40">
        <v>0.99923720000000005</v>
      </c>
      <c r="G40">
        <v>44.393000000000001</v>
      </c>
    </row>
    <row r="41" spans="1:7" x14ac:dyDescent="0.3">
      <c r="A41" s="16">
        <v>38</v>
      </c>
      <c r="B41" s="16">
        <v>98605</v>
      </c>
      <c r="C41" s="16">
        <v>77</v>
      </c>
      <c r="D41">
        <v>0.78254000000000001</v>
      </c>
      <c r="E41" s="16">
        <v>98567</v>
      </c>
      <c r="F41">
        <v>0.99918050000000003</v>
      </c>
      <c r="G41">
        <v>43.426000000000002</v>
      </c>
    </row>
    <row r="42" spans="1:7" x14ac:dyDescent="0.3">
      <c r="A42" s="16">
        <v>39</v>
      </c>
      <c r="B42" s="16">
        <v>98528</v>
      </c>
      <c r="C42" s="16">
        <v>84</v>
      </c>
      <c r="D42">
        <v>0.85653999999999997</v>
      </c>
      <c r="E42" s="16">
        <v>98486</v>
      </c>
      <c r="F42">
        <v>0.99909199999999998</v>
      </c>
      <c r="G42">
        <v>42.46</v>
      </c>
    </row>
    <row r="43" spans="1:7" x14ac:dyDescent="0.3">
      <c r="A43" s="16">
        <v>40</v>
      </c>
      <c r="B43" s="16">
        <v>98444</v>
      </c>
      <c r="C43" s="16">
        <v>94</v>
      </c>
      <c r="D43">
        <v>0.95952000000000004</v>
      </c>
      <c r="E43" s="16">
        <v>98397</v>
      </c>
      <c r="F43">
        <v>0.9989846</v>
      </c>
      <c r="G43">
        <v>41.494999999999997</v>
      </c>
    </row>
    <row r="44" spans="1:7" x14ac:dyDescent="0.3">
      <c r="A44" s="16">
        <v>41</v>
      </c>
      <c r="B44" s="16">
        <v>98349</v>
      </c>
      <c r="C44" s="16">
        <v>105</v>
      </c>
      <c r="D44">
        <v>1.07131</v>
      </c>
      <c r="E44" s="16">
        <v>98297</v>
      </c>
      <c r="F44">
        <v>0.99886560000000002</v>
      </c>
      <c r="G44">
        <v>40.534999999999997</v>
      </c>
    </row>
    <row r="45" spans="1:7" x14ac:dyDescent="0.3">
      <c r="A45" s="16">
        <v>42</v>
      </c>
      <c r="B45" s="16">
        <v>98244</v>
      </c>
      <c r="C45" s="16">
        <v>118</v>
      </c>
      <c r="D45">
        <v>1.1976100000000001</v>
      </c>
      <c r="E45" s="16">
        <v>98185</v>
      </c>
      <c r="F45">
        <v>0.9987393</v>
      </c>
      <c r="G45">
        <v>39.578000000000003</v>
      </c>
    </row>
    <row r="46" spans="1:7" x14ac:dyDescent="0.3">
      <c r="A46" s="16">
        <v>43</v>
      </c>
      <c r="B46" s="16">
        <v>98126</v>
      </c>
      <c r="C46" s="16">
        <v>130</v>
      </c>
      <c r="D46">
        <v>1.3238799999999999</v>
      </c>
      <c r="E46" s="16">
        <v>98061</v>
      </c>
      <c r="F46">
        <v>0.99860749999999998</v>
      </c>
      <c r="G46">
        <v>38.625</v>
      </c>
    </row>
    <row r="47" spans="1:7" x14ac:dyDescent="0.3">
      <c r="A47" s="16">
        <v>44</v>
      </c>
      <c r="B47" s="16">
        <v>97996</v>
      </c>
      <c r="C47" s="16">
        <v>143</v>
      </c>
      <c r="D47">
        <v>1.46119</v>
      </c>
      <c r="E47" s="16">
        <v>97925</v>
      </c>
      <c r="F47">
        <v>0.99847750000000002</v>
      </c>
      <c r="G47">
        <v>37.674999999999997</v>
      </c>
    </row>
    <row r="48" spans="1:7" x14ac:dyDescent="0.3">
      <c r="A48" s="16">
        <v>45</v>
      </c>
      <c r="B48" s="16">
        <v>97853</v>
      </c>
      <c r="C48" s="16">
        <v>155</v>
      </c>
      <c r="D48">
        <v>1.5839700000000001</v>
      </c>
      <c r="E48" s="16">
        <v>97776</v>
      </c>
      <c r="F48">
        <v>0.99835050000000003</v>
      </c>
      <c r="G48">
        <v>36.729999999999997</v>
      </c>
    </row>
    <row r="49" spans="1:7" x14ac:dyDescent="0.3">
      <c r="A49" s="16">
        <v>46</v>
      </c>
      <c r="B49" s="16">
        <v>97698</v>
      </c>
      <c r="C49" s="16">
        <v>168</v>
      </c>
      <c r="D49">
        <v>1.71506</v>
      </c>
      <c r="E49" s="16">
        <v>97614</v>
      </c>
      <c r="F49">
        <v>0.99820609999999999</v>
      </c>
      <c r="G49">
        <v>35.786999999999999</v>
      </c>
    </row>
    <row r="50" spans="1:7" x14ac:dyDescent="0.3">
      <c r="A50" s="16">
        <v>47</v>
      </c>
      <c r="B50" s="16">
        <v>97531</v>
      </c>
      <c r="C50" s="16">
        <v>183</v>
      </c>
      <c r="D50">
        <v>1.8729100000000001</v>
      </c>
      <c r="E50" s="16">
        <v>97439</v>
      </c>
      <c r="F50">
        <v>0.99805549999999998</v>
      </c>
      <c r="G50">
        <v>34.847999999999999</v>
      </c>
    </row>
    <row r="51" spans="1:7" x14ac:dyDescent="0.3">
      <c r="A51" s="16">
        <v>48</v>
      </c>
      <c r="B51" s="16">
        <v>97348</v>
      </c>
      <c r="C51" s="16">
        <v>196</v>
      </c>
      <c r="D51">
        <v>2.0161799999999999</v>
      </c>
      <c r="E51" s="16">
        <v>97250</v>
      </c>
      <c r="F51">
        <v>0.99790579999999995</v>
      </c>
      <c r="G51">
        <v>33.911999999999999</v>
      </c>
    </row>
    <row r="52" spans="1:7" x14ac:dyDescent="0.3">
      <c r="A52" s="16">
        <v>49</v>
      </c>
      <c r="B52" s="16">
        <v>97152</v>
      </c>
      <c r="C52" s="16">
        <v>211</v>
      </c>
      <c r="D52">
        <v>2.17232</v>
      </c>
      <c r="E52" s="16">
        <v>97046</v>
      </c>
      <c r="F52">
        <v>0.99771609999999999</v>
      </c>
      <c r="G52">
        <v>32.979999999999997</v>
      </c>
    </row>
    <row r="53" spans="1:7" x14ac:dyDescent="0.3">
      <c r="A53" s="16">
        <v>50</v>
      </c>
      <c r="B53" s="16">
        <v>96941</v>
      </c>
      <c r="C53" s="16">
        <v>232</v>
      </c>
      <c r="D53">
        <v>2.3957099999999998</v>
      </c>
      <c r="E53" s="16">
        <v>96825</v>
      </c>
      <c r="F53">
        <v>0.99747419999999998</v>
      </c>
      <c r="G53">
        <v>32.049999999999997</v>
      </c>
    </row>
    <row r="54" spans="1:7" x14ac:dyDescent="0.3">
      <c r="A54" s="16">
        <v>51</v>
      </c>
      <c r="B54" s="16">
        <v>96708</v>
      </c>
      <c r="C54" s="16">
        <v>257</v>
      </c>
      <c r="D54">
        <v>2.6562800000000002</v>
      </c>
      <c r="E54" s="16">
        <v>96580</v>
      </c>
      <c r="F54">
        <v>0.99721499999999996</v>
      </c>
      <c r="G54">
        <v>31.126000000000001</v>
      </c>
    </row>
    <row r="55" spans="1:7" x14ac:dyDescent="0.3">
      <c r="A55" s="16">
        <v>52</v>
      </c>
      <c r="B55" s="16">
        <v>96452</v>
      </c>
      <c r="C55" s="16">
        <v>281</v>
      </c>
      <c r="D55">
        <v>2.9140299999999999</v>
      </c>
      <c r="E55" s="16">
        <v>96311</v>
      </c>
      <c r="F55">
        <v>0.99691859999999999</v>
      </c>
      <c r="G55">
        <v>30.207999999999998</v>
      </c>
    </row>
    <row r="56" spans="1:7" x14ac:dyDescent="0.3">
      <c r="A56" s="16">
        <v>53</v>
      </c>
      <c r="B56" s="16">
        <v>96170</v>
      </c>
      <c r="C56" s="16">
        <v>312</v>
      </c>
      <c r="D56">
        <v>3.24925</v>
      </c>
      <c r="E56" s="16">
        <v>96014</v>
      </c>
      <c r="F56">
        <v>0.99657180000000001</v>
      </c>
      <c r="G56">
        <v>29.295000000000002</v>
      </c>
    </row>
    <row r="57" spans="1:7" x14ac:dyDescent="0.3">
      <c r="A57" s="16">
        <v>54</v>
      </c>
      <c r="B57" s="16">
        <v>95858</v>
      </c>
      <c r="C57" s="16">
        <v>346</v>
      </c>
      <c r="D57">
        <v>3.6077300000000001</v>
      </c>
      <c r="E57" s="16">
        <v>95685</v>
      </c>
      <c r="F57">
        <v>0.99620649999999999</v>
      </c>
      <c r="G57">
        <v>28.388000000000002</v>
      </c>
    </row>
    <row r="58" spans="1:7" x14ac:dyDescent="0.3">
      <c r="A58" s="16">
        <v>55</v>
      </c>
      <c r="B58" s="16">
        <v>95512</v>
      </c>
      <c r="C58" s="16">
        <v>380</v>
      </c>
      <c r="D58">
        <v>3.9799699999999998</v>
      </c>
      <c r="E58" s="16">
        <v>95322</v>
      </c>
      <c r="F58">
        <v>0.99584689999999998</v>
      </c>
      <c r="G58">
        <v>27.489000000000001</v>
      </c>
    </row>
    <row r="59" spans="1:7" x14ac:dyDescent="0.3">
      <c r="A59" s="16">
        <v>56</v>
      </c>
      <c r="B59" s="16">
        <v>95132</v>
      </c>
      <c r="C59" s="16">
        <v>412</v>
      </c>
      <c r="D59">
        <v>4.3269700000000002</v>
      </c>
      <c r="E59" s="16">
        <v>94926</v>
      </c>
      <c r="F59">
        <v>0.99544069999999996</v>
      </c>
      <c r="G59">
        <v>26.597000000000001</v>
      </c>
    </row>
    <row r="60" spans="1:7" x14ac:dyDescent="0.3">
      <c r="A60" s="16">
        <v>57</v>
      </c>
      <c r="B60" s="16">
        <v>94720</v>
      </c>
      <c r="C60" s="16">
        <v>454</v>
      </c>
      <c r="D60">
        <v>4.7925399999999998</v>
      </c>
      <c r="E60" s="16">
        <v>94493</v>
      </c>
      <c r="F60">
        <v>0.9949673</v>
      </c>
      <c r="G60">
        <v>25.710999999999999</v>
      </c>
    </row>
    <row r="61" spans="1:7" x14ac:dyDescent="0.3">
      <c r="A61" s="16">
        <v>58</v>
      </c>
      <c r="B61" s="16">
        <v>94266</v>
      </c>
      <c r="C61" s="16">
        <v>497</v>
      </c>
      <c r="D61">
        <v>5.27393</v>
      </c>
      <c r="E61" s="16">
        <v>94018</v>
      </c>
      <c r="F61">
        <v>0.99444169999999998</v>
      </c>
      <c r="G61">
        <v>24.832000000000001</v>
      </c>
    </row>
    <row r="62" spans="1:7" x14ac:dyDescent="0.3">
      <c r="A62" s="16">
        <v>59</v>
      </c>
      <c r="B62" s="16">
        <v>93769</v>
      </c>
      <c r="C62" s="16">
        <v>548</v>
      </c>
      <c r="D62">
        <v>5.8440799999999999</v>
      </c>
      <c r="E62" s="16">
        <v>93495</v>
      </c>
      <c r="F62">
        <v>0.99384490000000003</v>
      </c>
      <c r="G62">
        <v>23.960999999999999</v>
      </c>
    </row>
    <row r="63" spans="1:7" x14ac:dyDescent="0.3">
      <c r="A63" s="16">
        <v>60</v>
      </c>
      <c r="B63" s="16">
        <v>93221</v>
      </c>
      <c r="C63" s="16">
        <v>603</v>
      </c>
      <c r="D63">
        <v>6.4678699999999996</v>
      </c>
      <c r="E63" s="16">
        <v>92920</v>
      </c>
      <c r="F63">
        <v>0.99321700000000002</v>
      </c>
      <c r="G63">
        <v>23.099</v>
      </c>
    </row>
    <row r="64" spans="1:7" x14ac:dyDescent="0.3">
      <c r="A64" s="16">
        <v>61</v>
      </c>
      <c r="B64" s="16">
        <v>92618</v>
      </c>
      <c r="C64" s="16">
        <v>658</v>
      </c>
      <c r="D64">
        <v>7.1002599999999996</v>
      </c>
      <c r="E64" s="16">
        <v>92290</v>
      </c>
      <c r="F64">
        <v>0.99254359999999997</v>
      </c>
      <c r="G64">
        <v>22.245999999999999</v>
      </c>
    </row>
    <row r="65" spans="1:7" x14ac:dyDescent="0.3">
      <c r="A65" s="16">
        <v>62</v>
      </c>
      <c r="B65" s="16">
        <v>91961</v>
      </c>
      <c r="C65" s="16">
        <v>719</v>
      </c>
      <c r="D65">
        <v>7.8151000000000002</v>
      </c>
      <c r="E65" s="16">
        <v>91601</v>
      </c>
      <c r="F65">
        <v>0.99176169999999997</v>
      </c>
      <c r="G65">
        <v>21.402000000000001</v>
      </c>
    </row>
    <row r="66" spans="1:7" x14ac:dyDescent="0.3">
      <c r="A66" s="16">
        <v>63</v>
      </c>
      <c r="B66" s="16">
        <v>91242</v>
      </c>
      <c r="C66" s="16">
        <v>791</v>
      </c>
      <c r="D66">
        <v>8.6648700000000005</v>
      </c>
      <c r="E66" s="16">
        <v>90847</v>
      </c>
      <c r="F66">
        <v>0.99084340000000004</v>
      </c>
      <c r="G66">
        <v>20.565999999999999</v>
      </c>
    </row>
    <row r="67" spans="1:7" x14ac:dyDescent="0.3">
      <c r="A67" s="16">
        <v>64</v>
      </c>
      <c r="B67" s="16">
        <v>90451</v>
      </c>
      <c r="C67" s="16">
        <v>873</v>
      </c>
      <c r="D67">
        <v>9.6526999999999994</v>
      </c>
      <c r="E67" s="16">
        <v>90015</v>
      </c>
      <c r="F67">
        <v>0.98977879999999996</v>
      </c>
      <c r="G67">
        <v>19.742000000000001</v>
      </c>
    </row>
    <row r="68" spans="1:7" x14ac:dyDescent="0.3">
      <c r="A68" s="16">
        <v>65</v>
      </c>
      <c r="B68" s="16">
        <v>89578</v>
      </c>
      <c r="C68" s="16">
        <v>967</v>
      </c>
      <c r="D68">
        <v>10.79527</v>
      </c>
      <c r="E68" s="16">
        <v>89095</v>
      </c>
      <c r="F68">
        <v>0.98874079999999998</v>
      </c>
      <c r="G68">
        <v>18.928999999999998</v>
      </c>
    </row>
    <row r="69" spans="1:7" x14ac:dyDescent="0.3">
      <c r="A69" s="16">
        <v>66</v>
      </c>
      <c r="B69" s="16">
        <v>88611</v>
      </c>
      <c r="C69" s="16">
        <v>1039</v>
      </c>
      <c r="D69">
        <v>11.728260000000001</v>
      </c>
      <c r="E69" s="16">
        <v>88092</v>
      </c>
      <c r="F69">
        <v>0.98774010000000001</v>
      </c>
      <c r="G69">
        <v>18.13</v>
      </c>
    </row>
    <row r="70" spans="1:7" x14ac:dyDescent="0.3">
      <c r="A70" s="16">
        <v>67</v>
      </c>
      <c r="B70" s="16">
        <v>87572</v>
      </c>
      <c r="C70" s="16">
        <v>1121</v>
      </c>
      <c r="D70">
        <v>12.797940000000001</v>
      </c>
      <c r="E70" s="16">
        <v>87012</v>
      </c>
      <c r="F70">
        <v>0.98661730000000003</v>
      </c>
      <c r="G70">
        <v>17.338999999999999</v>
      </c>
    </row>
    <row r="71" spans="1:7" x14ac:dyDescent="0.3">
      <c r="A71" s="16">
        <v>68</v>
      </c>
      <c r="B71" s="16">
        <v>86451</v>
      </c>
      <c r="C71" s="16">
        <v>1208</v>
      </c>
      <c r="D71">
        <v>13.97499</v>
      </c>
      <c r="E71" s="16">
        <v>85847</v>
      </c>
      <c r="F71">
        <v>0.98518839999999996</v>
      </c>
      <c r="G71">
        <v>16.558</v>
      </c>
    </row>
    <row r="72" spans="1:7" x14ac:dyDescent="0.3">
      <c r="A72" s="16">
        <v>69</v>
      </c>
      <c r="B72" s="16">
        <v>85243</v>
      </c>
      <c r="C72" s="16">
        <v>1335</v>
      </c>
      <c r="D72">
        <v>15.66005</v>
      </c>
      <c r="E72" s="16">
        <v>84576</v>
      </c>
      <c r="F72">
        <v>0.98344030000000004</v>
      </c>
      <c r="G72">
        <v>15.785</v>
      </c>
    </row>
    <row r="73" spans="1:7" x14ac:dyDescent="0.3">
      <c r="A73" s="16">
        <v>70</v>
      </c>
      <c r="B73" s="16">
        <v>83908</v>
      </c>
      <c r="C73" s="16">
        <v>1466</v>
      </c>
      <c r="D73">
        <v>17.473579999999998</v>
      </c>
      <c r="E73" s="16">
        <v>83175</v>
      </c>
      <c r="F73">
        <v>0.98140439999999995</v>
      </c>
      <c r="G73">
        <v>15.029</v>
      </c>
    </row>
    <row r="74" spans="1:7" x14ac:dyDescent="0.3">
      <c r="A74" s="16">
        <v>71</v>
      </c>
      <c r="B74" s="16">
        <v>82442</v>
      </c>
      <c r="C74" s="16">
        <v>1627</v>
      </c>
      <c r="D74">
        <v>19.737480000000001</v>
      </c>
      <c r="E74" s="16">
        <v>81628</v>
      </c>
      <c r="F74">
        <v>0.97928029999999999</v>
      </c>
      <c r="G74">
        <v>14.287000000000001</v>
      </c>
    </row>
    <row r="75" spans="1:7" x14ac:dyDescent="0.3">
      <c r="A75" s="16">
        <v>72</v>
      </c>
      <c r="B75" s="16">
        <v>80815</v>
      </c>
      <c r="C75" s="16">
        <v>1755</v>
      </c>
      <c r="D75">
        <v>21.721769999999999</v>
      </c>
      <c r="E75" s="16">
        <v>79937</v>
      </c>
      <c r="F75">
        <v>0.97719069999999997</v>
      </c>
      <c r="G75">
        <v>13.565</v>
      </c>
    </row>
    <row r="76" spans="1:7" x14ac:dyDescent="0.3">
      <c r="A76" s="16">
        <v>73</v>
      </c>
      <c r="B76" s="16">
        <v>79059</v>
      </c>
      <c r="C76" s="16">
        <v>1891</v>
      </c>
      <c r="D76">
        <v>23.921029999999998</v>
      </c>
      <c r="E76" s="16">
        <v>78114</v>
      </c>
      <c r="F76">
        <v>0.97506250000000005</v>
      </c>
      <c r="G76">
        <v>12.855</v>
      </c>
    </row>
    <row r="77" spans="1:7" x14ac:dyDescent="0.3">
      <c r="A77" s="16">
        <v>74</v>
      </c>
      <c r="B77" s="16">
        <v>77168</v>
      </c>
      <c r="C77" s="16">
        <v>2005</v>
      </c>
      <c r="D77">
        <v>25.97889</v>
      </c>
      <c r="E77" s="16">
        <v>76166</v>
      </c>
      <c r="F77">
        <v>0.97242070000000003</v>
      </c>
      <c r="G77">
        <v>12.157</v>
      </c>
    </row>
    <row r="78" spans="1:7" x14ac:dyDescent="0.3">
      <c r="A78" s="16">
        <v>75</v>
      </c>
      <c r="B78" s="16">
        <v>75164</v>
      </c>
      <c r="C78" s="16">
        <v>2196</v>
      </c>
      <c r="D78">
        <v>29.22232</v>
      </c>
      <c r="E78" s="16">
        <v>74065</v>
      </c>
      <c r="F78">
        <v>0.96898119999999999</v>
      </c>
      <c r="G78">
        <v>11.468</v>
      </c>
    </row>
    <row r="79" spans="1:7" x14ac:dyDescent="0.3">
      <c r="A79" s="16">
        <v>76</v>
      </c>
      <c r="B79" s="16">
        <v>72967</v>
      </c>
      <c r="C79" s="16">
        <v>2398</v>
      </c>
      <c r="D79">
        <v>32.869430000000001</v>
      </c>
      <c r="E79" s="16">
        <v>71768</v>
      </c>
      <c r="F79">
        <v>0.96483050000000004</v>
      </c>
      <c r="G79">
        <v>10.798</v>
      </c>
    </row>
    <row r="80" spans="1:7" x14ac:dyDescent="0.3">
      <c r="A80" s="16">
        <v>77</v>
      </c>
      <c r="B80" s="16">
        <v>70569</v>
      </c>
      <c r="C80" s="16">
        <v>2650</v>
      </c>
      <c r="D80">
        <v>37.547710000000002</v>
      </c>
      <c r="E80" s="16">
        <v>69244</v>
      </c>
      <c r="F80">
        <v>0.96051390000000003</v>
      </c>
      <c r="G80">
        <v>10.148999999999999</v>
      </c>
    </row>
    <row r="81" spans="1:7" x14ac:dyDescent="0.3">
      <c r="A81" s="16">
        <v>78</v>
      </c>
      <c r="B81" s="16">
        <v>67919</v>
      </c>
      <c r="C81" s="16">
        <v>2819</v>
      </c>
      <c r="D81">
        <v>41.500149999999998</v>
      </c>
      <c r="E81" s="16">
        <v>66510</v>
      </c>
      <c r="F81">
        <v>0.9557871</v>
      </c>
      <c r="G81">
        <v>9.5250000000000004</v>
      </c>
    </row>
    <row r="82" spans="1:7" x14ac:dyDescent="0.3">
      <c r="A82" s="16">
        <v>79</v>
      </c>
      <c r="B82" s="16">
        <v>65100</v>
      </c>
      <c r="C82" s="16">
        <v>3063</v>
      </c>
      <c r="D82">
        <v>47.043030000000002</v>
      </c>
      <c r="E82" s="16">
        <v>63569</v>
      </c>
      <c r="F82">
        <v>0.95016219999999996</v>
      </c>
      <c r="G82">
        <v>8.9160000000000004</v>
      </c>
    </row>
    <row r="83" spans="1:7" x14ac:dyDescent="0.3">
      <c r="A83" s="16">
        <v>80</v>
      </c>
      <c r="B83" s="16">
        <v>62038</v>
      </c>
      <c r="C83" s="16">
        <v>3274</v>
      </c>
      <c r="D83">
        <v>52.770629999999997</v>
      </c>
      <c r="E83" s="16">
        <v>60401</v>
      </c>
      <c r="F83">
        <v>0.94422280000000003</v>
      </c>
      <c r="G83">
        <v>8.3309999999999995</v>
      </c>
    </row>
    <row r="84" spans="1:7" x14ac:dyDescent="0.3">
      <c r="A84" s="16">
        <v>81</v>
      </c>
      <c r="B84" s="16">
        <v>58764</v>
      </c>
      <c r="C84" s="16">
        <v>3464</v>
      </c>
      <c r="D84">
        <v>58.951180000000001</v>
      </c>
      <c r="E84" s="16">
        <v>57032</v>
      </c>
      <c r="F84">
        <v>0.93775920000000001</v>
      </c>
      <c r="G84">
        <v>7.7670000000000003</v>
      </c>
    </row>
    <row r="85" spans="1:7" x14ac:dyDescent="0.3">
      <c r="A85" s="16">
        <v>82</v>
      </c>
      <c r="B85" s="16">
        <v>55300</v>
      </c>
      <c r="C85" s="16">
        <v>3635</v>
      </c>
      <c r="D85">
        <v>65.736419999999995</v>
      </c>
      <c r="E85" s="16">
        <v>53482</v>
      </c>
      <c r="F85">
        <v>0.93114920000000001</v>
      </c>
      <c r="G85">
        <v>7.2229999999999999</v>
      </c>
    </row>
    <row r="86" spans="1:7" x14ac:dyDescent="0.3">
      <c r="A86" s="16">
        <v>83</v>
      </c>
      <c r="B86" s="16">
        <v>51665</v>
      </c>
      <c r="C86" s="16">
        <v>3729</v>
      </c>
      <c r="D86">
        <v>72.184380000000004</v>
      </c>
      <c r="E86" s="16">
        <v>49800</v>
      </c>
      <c r="F86">
        <v>0.92344899999999996</v>
      </c>
      <c r="G86">
        <v>6.6959999999999997</v>
      </c>
    </row>
    <row r="87" spans="1:7" x14ac:dyDescent="0.3">
      <c r="A87" s="16">
        <v>84</v>
      </c>
      <c r="B87" s="16">
        <v>47935</v>
      </c>
      <c r="C87" s="16">
        <v>3895</v>
      </c>
      <c r="D87">
        <v>81.257310000000004</v>
      </c>
      <c r="E87" s="16">
        <v>45988</v>
      </c>
      <c r="F87">
        <v>0.91329260000000001</v>
      </c>
      <c r="G87">
        <v>6.1779999999999999</v>
      </c>
    </row>
    <row r="88" spans="1:7" x14ac:dyDescent="0.3">
      <c r="A88" s="16">
        <v>85</v>
      </c>
      <c r="B88" s="16">
        <v>44040</v>
      </c>
      <c r="C88" s="16">
        <v>4080</v>
      </c>
      <c r="D88">
        <v>92.639579999999995</v>
      </c>
      <c r="E88" s="16">
        <v>42000</v>
      </c>
      <c r="F88">
        <v>0.90052829999999995</v>
      </c>
      <c r="G88">
        <v>5.68</v>
      </c>
    </row>
    <row r="89" spans="1:7" x14ac:dyDescent="0.3">
      <c r="A89" s="16">
        <v>86</v>
      </c>
      <c r="B89" s="16">
        <v>39960</v>
      </c>
      <c r="C89" s="16">
        <v>4276</v>
      </c>
      <c r="D89">
        <v>107.0014</v>
      </c>
      <c r="E89" s="16">
        <v>37822</v>
      </c>
      <c r="F89">
        <v>0.88579839999999999</v>
      </c>
      <c r="G89">
        <v>5.2089999999999996</v>
      </c>
    </row>
    <row r="90" spans="1:7" x14ac:dyDescent="0.3">
      <c r="A90" s="16">
        <v>87</v>
      </c>
      <c r="B90" s="16">
        <v>35684</v>
      </c>
      <c r="C90" s="16">
        <v>4363</v>
      </c>
      <c r="D90">
        <v>122.26466000000001</v>
      </c>
      <c r="E90" s="16">
        <v>33503</v>
      </c>
      <c r="F90">
        <v>0.86950139999999998</v>
      </c>
      <c r="G90">
        <v>4.7729999999999997</v>
      </c>
    </row>
    <row r="91" spans="1:7" x14ac:dyDescent="0.3">
      <c r="A91" s="16">
        <v>88</v>
      </c>
      <c r="B91" s="16">
        <v>31322</v>
      </c>
      <c r="C91" s="16">
        <v>4381</v>
      </c>
      <c r="D91">
        <v>139.87939</v>
      </c>
      <c r="E91" s="16">
        <v>29131</v>
      </c>
      <c r="F91">
        <v>0.85080149999999999</v>
      </c>
      <c r="G91">
        <v>4.3680000000000003</v>
      </c>
    </row>
    <row r="92" spans="1:7" x14ac:dyDescent="0.3">
      <c r="A92" s="16">
        <v>89</v>
      </c>
      <c r="B92" s="16">
        <v>26940</v>
      </c>
      <c r="C92" s="16">
        <v>4311</v>
      </c>
      <c r="D92">
        <v>160.03310999999999</v>
      </c>
      <c r="E92" s="16">
        <v>24785</v>
      </c>
      <c r="F92">
        <v>0.83050539999999995</v>
      </c>
      <c r="G92">
        <v>3.9969999999999999</v>
      </c>
    </row>
    <row r="93" spans="1:7" x14ac:dyDescent="0.3">
      <c r="A93" s="16">
        <v>90</v>
      </c>
      <c r="B93" s="16">
        <v>22629</v>
      </c>
      <c r="C93" s="16">
        <v>4090</v>
      </c>
      <c r="D93">
        <v>180.75868</v>
      </c>
      <c r="E93" s="16">
        <v>20584</v>
      </c>
      <c r="F93">
        <v>0.81048940000000003</v>
      </c>
      <c r="G93">
        <v>3.6629999999999998</v>
      </c>
    </row>
    <row r="94" spans="1:7" x14ac:dyDescent="0.3">
      <c r="A94" s="16">
        <v>91</v>
      </c>
      <c r="B94" s="16">
        <v>18539</v>
      </c>
      <c r="C94" s="16">
        <v>3711</v>
      </c>
      <c r="D94">
        <v>200.19364999999999</v>
      </c>
      <c r="E94" s="16">
        <v>16683</v>
      </c>
      <c r="F94">
        <v>0.78891809999999996</v>
      </c>
      <c r="G94">
        <v>3.3610000000000002</v>
      </c>
    </row>
    <row r="95" spans="1:7" x14ac:dyDescent="0.3">
      <c r="A95" s="16">
        <v>92</v>
      </c>
      <c r="B95" s="16">
        <v>14827</v>
      </c>
      <c r="C95" s="16">
        <v>3332</v>
      </c>
      <c r="D95">
        <v>224.69547</v>
      </c>
      <c r="E95" s="16">
        <v>13161</v>
      </c>
      <c r="F95">
        <v>0.76600069999999998</v>
      </c>
      <c r="G95">
        <v>3.0779999999999998</v>
      </c>
    </row>
    <row r="96" spans="1:7" x14ac:dyDescent="0.3">
      <c r="A96" s="16">
        <v>93</v>
      </c>
      <c r="B96" s="16">
        <v>11496</v>
      </c>
      <c r="C96" s="16">
        <v>2828</v>
      </c>
      <c r="D96">
        <v>245.99945</v>
      </c>
      <c r="E96" s="16">
        <v>10082</v>
      </c>
      <c r="F96">
        <v>0.74126829999999999</v>
      </c>
      <c r="G96">
        <v>2.8250000000000002</v>
      </c>
    </row>
    <row r="97" spans="1:7" x14ac:dyDescent="0.3">
      <c r="A97" s="16">
        <v>94</v>
      </c>
      <c r="B97" s="16">
        <v>8668</v>
      </c>
      <c r="C97" s="16">
        <v>2389</v>
      </c>
      <c r="D97">
        <v>275.61788000000001</v>
      </c>
      <c r="E97" s="16">
        <v>7473</v>
      </c>
      <c r="F97">
        <v>0.71180379999999999</v>
      </c>
      <c r="G97">
        <v>2.5830000000000002</v>
      </c>
    </row>
    <row r="98" spans="1:7" x14ac:dyDescent="0.3">
      <c r="A98" s="16">
        <v>95</v>
      </c>
      <c r="B98" s="16">
        <v>6279</v>
      </c>
      <c r="C98" s="16">
        <v>1919</v>
      </c>
      <c r="D98">
        <v>305.56044000000003</v>
      </c>
      <c r="E98" s="16">
        <v>5319</v>
      </c>
      <c r="F98">
        <v>0.68336730000000001</v>
      </c>
      <c r="G98">
        <v>2.3759999999999999</v>
      </c>
    </row>
    <row r="99" spans="1:7" x14ac:dyDescent="0.3">
      <c r="A99" s="16">
        <v>96</v>
      </c>
      <c r="B99" s="16">
        <v>4360</v>
      </c>
      <c r="C99" s="16">
        <v>1450</v>
      </c>
      <c r="D99">
        <v>332.57691</v>
      </c>
      <c r="E99" s="16">
        <v>3635</v>
      </c>
      <c r="F99">
        <v>0.65781630000000002</v>
      </c>
      <c r="G99">
        <v>2.2010000000000001</v>
      </c>
    </row>
    <row r="100" spans="1:7" x14ac:dyDescent="0.3">
      <c r="A100" s="16">
        <v>97</v>
      </c>
      <c r="B100" s="16">
        <v>2910</v>
      </c>
      <c r="C100" s="16">
        <v>1038</v>
      </c>
      <c r="D100">
        <v>356.57767000000001</v>
      </c>
      <c r="E100" s="16">
        <v>2391</v>
      </c>
      <c r="F100">
        <v>0.63461120000000004</v>
      </c>
      <c r="G100">
        <v>2.0489999999999999</v>
      </c>
    </row>
    <row r="101" spans="1:7" x14ac:dyDescent="0.3">
      <c r="A101" s="16">
        <v>98</v>
      </c>
      <c r="B101" s="16">
        <v>1872</v>
      </c>
      <c r="C101" s="16">
        <v>710</v>
      </c>
      <c r="D101">
        <v>379.08291000000003</v>
      </c>
      <c r="E101" s="16">
        <v>1518</v>
      </c>
      <c r="F101">
        <v>0.61194110000000002</v>
      </c>
      <c r="G101">
        <v>1.907</v>
      </c>
    </row>
    <row r="102" spans="1:7" x14ac:dyDescent="0.3">
      <c r="A102" s="16">
        <v>99</v>
      </c>
      <c r="B102" s="16">
        <v>1163</v>
      </c>
      <c r="C102" s="16">
        <v>468</v>
      </c>
      <c r="D102">
        <v>402.51481999999999</v>
      </c>
      <c r="E102" s="16">
        <v>929</v>
      </c>
      <c r="F102">
        <v>0.58563529999999997</v>
      </c>
      <c r="G102">
        <v>1.766</v>
      </c>
    </row>
    <row r="103" spans="1:7" x14ac:dyDescent="0.3">
      <c r="A103" s="16">
        <v>100</v>
      </c>
      <c r="B103" s="16">
        <v>695</v>
      </c>
      <c r="C103" s="16">
        <v>302</v>
      </c>
      <c r="D103">
        <v>434.19751000000002</v>
      </c>
      <c r="E103" s="16">
        <v>544</v>
      </c>
      <c r="F103">
        <v>0.55109640000000004</v>
      </c>
      <c r="G103">
        <v>1.619</v>
      </c>
    </row>
    <row r="104" spans="1:7" x14ac:dyDescent="0.3">
      <c r="A104" s="16">
        <v>101</v>
      </c>
      <c r="B104" s="16">
        <v>393</v>
      </c>
      <c r="C104" s="16">
        <v>187</v>
      </c>
      <c r="D104">
        <v>474.89508999999998</v>
      </c>
      <c r="E104" s="16">
        <v>300</v>
      </c>
      <c r="F104">
        <v>0.51317630000000003</v>
      </c>
      <c r="G104">
        <v>1.478</v>
      </c>
    </row>
    <row r="105" spans="1:7" x14ac:dyDescent="0.3">
      <c r="A105" s="16">
        <v>102</v>
      </c>
      <c r="B105" s="16">
        <v>206</v>
      </c>
      <c r="C105" s="16">
        <v>105</v>
      </c>
      <c r="D105">
        <v>509.54043000000001</v>
      </c>
      <c r="E105" s="16">
        <v>154</v>
      </c>
      <c r="F105">
        <v>0.47897849999999997</v>
      </c>
      <c r="G105">
        <v>1.363</v>
      </c>
    </row>
    <row r="106" spans="1:7" x14ac:dyDescent="0.3">
      <c r="A106" s="16">
        <v>103</v>
      </c>
      <c r="B106" s="16">
        <v>101</v>
      </c>
      <c r="C106" s="16">
        <v>55</v>
      </c>
      <c r="D106">
        <v>544.43039999999996</v>
      </c>
      <c r="E106" s="16">
        <v>74</v>
      </c>
      <c r="F106">
        <v>0.44467410000000002</v>
      </c>
      <c r="G106">
        <v>1.2589999999999999</v>
      </c>
    </row>
    <row r="107" spans="1:7" x14ac:dyDescent="0.3">
      <c r="A107" s="16">
        <v>104</v>
      </c>
      <c r="B107" s="16">
        <v>46</v>
      </c>
      <c r="C107" s="16">
        <v>27</v>
      </c>
      <c r="D107">
        <v>579.24221999999997</v>
      </c>
      <c r="E107" s="16">
        <v>33</v>
      </c>
      <c r="F107">
        <v>0.4105705</v>
      </c>
      <c r="G107">
        <v>1.1659999999999999</v>
      </c>
    </row>
    <row r="108" spans="1:7" x14ac:dyDescent="0.3">
      <c r="A108" s="16">
        <v>105</v>
      </c>
      <c r="B108" s="16">
        <v>19</v>
      </c>
      <c r="C108" s="16">
        <v>12</v>
      </c>
      <c r="D108">
        <v>613.64117999999996</v>
      </c>
      <c r="E108" s="16">
        <v>13</v>
      </c>
      <c r="F108">
        <v>0.37697819999999999</v>
      </c>
      <c r="G108">
        <v>1.083</v>
      </c>
    </row>
    <row r="109" spans="1:7" x14ac:dyDescent="0.3">
      <c r="A109" s="16">
        <v>106</v>
      </c>
      <c r="B109" s="16">
        <v>7</v>
      </c>
      <c r="C109" s="16">
        <v>5</v>
      </c>
      <c r="D109">
        <v>647.30123000000003</v>
      </c>
      <c r="E109" s="16">
        <v>5</v>
      </c>
      <c r="F109">
        <v>0.34419689999999997</v>
      </c>
      <c r="G109">
        <v>1.0089999999999999</v>
      </c>
    </row>
    <row r="110" spans="1:7" x14ac:dyDescent="0.3">
      <c r="A110" s="16">
        <v>107</v>
      </c>
      <c r="B110" s="16">
        <v>3</v>
      </c>
      <c r="C110" s="16">
        <v>2</v>
      </c>
      <c r="D110">
        <v>679.90812000000005</v>
      </c>
      <c r="E110" s="16">
        <v>2</v>
      </c>
      <c r="F110">
        <v>0.31250939999999999</v>
      </c>
      <c r="G110">
        <v>0.94299999999999995</v>
      </c>
    </row>
    <row r="111" spans="1:7" x14ac:dyDescent="0.3">
      <c r="A111" s="16">
        <v>108</v>
      </c>
      <c r="B111" s="16">
        <v>1</v>
      </c>
      <c r="C111" s="16">
        <v>1</v>
      </c>
      <c r="D111">
        <v>711.17909999999995</v>
      </c>
      <c r="E111" s="16">
        <v>1</v>
      </c>
      <c r="F111">
        <v>0.28216930000000001</v>
      </c>
      <c r="G111">
        <v>0.88500000000000001</v>
      </c>
    </row>
    <row r="112" spans="1:7" x14ac:dyDescent="0.3">
      <c r="A112" s="16">
        <v>109</v>
      </c>
      <c r="B112" s="16">
        <v>0</v>
      </c>
      <c r="C112" s="16">
        <v>0</v>
      </c>
      <c r="D112">
        <v>740.86099999999999</v>
      </c>
      <c r="E112" s="16">
        <v>0</v>
      </c>
      <c r="F112">
        <v>0.25340030000000002</v>
      </c>
      <c r="G112">
        <v>0.83399999999999996</v>
      </c>
    </row>
    <row r="113" spans="1:7" x14ac:dyDescent="0.3">
      <c r="A113" s="16">
        <v>110</v>
      </c>
      <c r="B113" s="16">
        <v>0</v>
      </c>
      <c r="C113" s="16">
        <v>0</v>
      </c>
      <c r="D113">
        <v>768.74483999999995</v>
      </c>
      <c r="E113" s="16">
        <v>0</v>
      </c>
      <c r="F113">
        <v>0.2263867</v>
      </c>
      <c r="G113">
        <v>0.78900000000000003</v>
      </c>
    </row>
    <row r="114" spans="1:7" x14ac:dyDescent="0.3">
      <c r="A114" s="16">
        <v>111</v>
      </c>
      <c r="B114" s="16">
        <v>0</v>
      </c>
      <c r="C114" s="16">
        <v>0</v>
      </c>
      <c r="D114">
        <v>794.66567999999995</v>
      </c>
      <c r="E114" s="16">
        <v>0</v>
      </c>
      <c r="F114">
        <v>0.2012727</v>
      </c>
      <c r="G114">
        <v>0.75</v>
      </c>
    </row>
    <row r="115" spans="1:7" x14ac:dyDescent="0.3">
      <c r="A115" s="16">
        <v>112</v>
      </c>
      <c r="B115" s="16">
        <v>0</v>
      </c>
      <c r="C115" s="16">
        <v>0</v>
      </c>
      <c r="D115">
        <v>818.50801000000001</v>
      </c>
      <c r="E115" s="16">
        <v>0</v>
      </c>
      <c r="F115">
        <v>0.17816000000000001</v>
      </c>
      <c r="G115">
        <v>0.71499999999999997</v>
      </c>
    </row>
    <row r="116" spans="1:7" x14ac:dyDescent="0.3">
      <c r="A116" s="16">
        <v>113</v>
      </c>
      <c r="B116" s="16">
        <v>0</v>
      </c>
      <c r="C116" s="16">
        <v>0</v>
      </c>
      <c r="D116">
        <v>840.19901000000004</v>
      </c>
      <c r="E116" s="16">
        <v>0</v>
      </c>
      <c r="F116">
        <v>0.15711249999999999</v>
      </c>
      <c r="G116">
        <v>0.68500000000000005</v>
      </c>
    </row>
    <row r="117" spans="1:7" x14ac:dyDescent="0.3">
      <c r="A117" s="16">
        <v>114</v>
      </c>
      <c r="B117" s="16">
        <v>0</v>
      </c>
      <c r="C117" s="16">
        <v>0</v>
      </c>
      <c r="D117">
        <v>859.71164999999996</v>
      </c>
      <c r="E117" s="16">
        <v>0</v>
      </c>
      <c r="F117">
        <v>0.13815450000000001</v>
      </c>
      <c r="G117">
        <v>0.66</v>
      </c>
    </row>
    <row r="118" spans="1:7" x14ac:dyDescent="0.3">
      <c r="A118" s="16">
        <v>115</v>
      </c>
      <c r="B118" s="16">
        <v>0</v>
      </c>
      <c r="C118" s="16">
        <v>0</v>
      </c>
      <c r="D118">
        <v>877.05601999999999</v>
      </c>
      <c r="E118" s="16">
        <v>0</v>
      </c>
      <c r="F118">
        <v>0.12127739999999999</v>
      </c>
      <c r="G118">
        <v>0.63800000000000001</v>
      </c>
    </row>
    <row r="119" spans="1:7" x14ac:dyDescent="0.3">
      <c r="A119" s="16">
        <v>116</v>
      </c>
      <c r="B119" s="16">
        <v>0</v>
      </c>
      <c r="C119" s="16">
        <v>0</v>
      </c>
      <c r="D119">
        <v>892.27828999999997</v>
      </c>
      <c r="E119" s="16">
        <v>0</v>
      </c>
      <c r="F119">
        <v>0.1064408</v>
      </c>
      <c r="G119">
        <v>0.61899999999999999</v>
      </c>
    </row>
    <row r="120" spans="1:7" x14ac:dyDescent="0.3">
      <c r="A120" s="16">
        <v>117</v>
      </c>
      <c r="B120" s="16">
        <v>0</v>
      </c>
      <c r="C120" s="16">
        <v>0</v>
      </c>
      <c r="D120">
        <v>905.45023000000003</v>
      </c>
      <c r="E120" s="16">
        <v>0</v>
      </c>
      <c r="F120">
        <v>9.3580800000000006E-2</v>
      </c>
      <c r="G120">
        <v>0.60299999999999998</v>
      </c>
    </row>
    <row r="121" spans="1:7" x14ac:dyDescent="0.3">
      <c r="A121" s="16">
        <v>118</v>
      </c>
      <c r="B121" s="16">
        <v>0</v>
      </c>
      <c r="C121" s="16">
        <v>0</v>
      </c>
      <c r="D121">
        <v>916.66747999999995</v>
      </c>
      <c r="E121" s="16">
        <v>0</v>
      </c>
      <c r="F121">
        <v>8.2611500000000004E-2</v>
      </c>
      <c r="G121">
        <v>0.59</v>
      </c>
    </row>
    <row r="122" spans="1:7" x14ac:dyDescent="0.3">
      <c r="A122" s="16">
        <v>119</v>
      </c>
      <c r="B122" s="16">
        <v>0</v>
      </c>
      <c r="C122" s="16">
        <v>0</v>
      </c>
      <c r="D122">
        <v>926.04048</v>
      </c>
      <c r="E122" s="16">
        <v>0</v>
      </c>
      <c r="F122">
        <v>7.3432700000000004E-2</v>
      </c>
      <c r="G122">
        <v>0.57899999999999996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1193-2C9A-4B4D-82CF-25AEEDE0B9C0}">
  <dimension ref="A1:E12"/>
  <sheetViews>
    <sheetView workbookViewId="0">
      <selection activeCell="A12" sqref="A12"/>
    </sheetView>
  </sheetViews>
  <sheetFormatPr defaultColWidth="8.796875" defaultRowHeight="14.4" x14ac:dyDescent="0.3"/>
  <cols>
    <col min="1" max="1" width="18.5" style="18" bestFit="1" customWidth="1"/>
    <col min="2" max="3" width="8.796875" style="18"/>
    <col min="4" max="4" width="16.19921875" style="18" bestFit="1" customWidth="1"/>
    <col min="5" max="16384" width="8.796875" style="18"/>
  </cols>
  <sheetData>
    <row r="1" spans="1:5" x14ac:dyDescent="0.3">
      <c r="A1" s="113" t="s">
        <v>33</v>
      </c>
      <c r="B1" s="113"/>
      <c r="C1" s="23"/>
      <c r="D1" s="113" t="s">
        <v>32</v>
      </c>
      <c r="E1" s="113"/>
    </row>
    <row r="2" spans="1:5" x14ac:dyDescent="0.3">
      <c r="A2" s="25" t="s">
        <v>31</v>
      </c>
      <c r="B2" s="19">
        <v>100000</v>
      </c>
      <c r="D2" s="25" t="s">
        <v>30</v>
      </c>
      <c r="E2" s="19">
        <v>0.39</v>
      </c>
    </row>
    <row r="3" spans="1:5" x14ac:dyDescent="0.3">
      <c r="A3" s="25" t="s">
        <v>29</v>
      </c>
      <c r="B3" s="19">
        <v>100000</v>
      </c>
      <c r="D3" s="25" t="s">
        <v>28</v>
      </c>
      <c r="E3" s="19">
        <v>0.49</v>
      </c>
    </row>
    <row r="4" spans="1:5" x14ac:dyDescent="0.3">
      <c r="A4" s="25" t="s">
        <v>27</v>
      </c>
      <c r="B4" s="20">
        <v>0.2</v>
      </c>
      <c r="D4" s="25" t="s">
        <v>26</v>
      </c>
      <c r="E4" s="19">
        <v>0.25</v>
      </c>
    </row>
    <row r="5" spans="1:5" x14ac:dyDescent="0.3">
      <c r="A5" s="25" t="s">
        <v>25</v>
      </c>
      <c r="B5" s="20">
        <v>0.1</v>
      </c>
      <c r="D5" s="25" t="s">
        <v>24</v>
      </c>
      <c r="E5" s="19">
        <v>0.22500000000000001</v>
      </c>
    </row>
    <row r="6" spans="1:5" x14ac:dyDescent="0.3">
      <c r="A6" s="25" t="s">
        <v>23</v>
      </c>
      <c r="B6" s="22">
        <v>2.1999999999999999E-2</v>
      </c>
      <c r="D6" s="25" t="s">
        <v>22</v>
      </c>
      <c r="E6" s="19">
        <v>7.4999999999999997E-2</v>
      </c>
    </row>
    <row r="7" spans="1:5" x14ac:dyDescent="0.3">
      <c r="A7" s="25" t="s">
        <v>21</v>
      </c>
      <c r="B7" s="20">
        <v>0.15</v>
      </c>
    </row>
    <row r="8" spans="1:5" x14ac:dyDescent="0.3">
      <c r="A8" s="25" t="s">
        <v>20</v>
      </c>
      <c r="B8" s="21">
        <v>50</v>
      </c>
    </row>
    <row r="9" spans="1:5" x14ac:dyDescent="0.3">
      <c r="A9" s="25" t="s">
        <v>19</v>
      </c>
      <c r="B9" s="20">
        <v>0.02</v>
      </c>
    </row>
    <row r="10" spans="1:5" x14ac:dyDescent="0.3">
      <c r="A10" s="25" t="s">
        <v>18</v>
      </c>
      <c r="B10" s="19">
        <v>50</v>
      </c>
    </row>
    <row r="11" spans="1:5" x14ac:dyDescent="0.3">
      <c r="A11" s="25" t="s">
        <v>17</v>
      </c>
      <c r="B11" s="19">
        <v>60</v>
      </c>
    </row>
    <row r="12" spans="1:5" x14ac:dyDescent="0.3">
      <c r="A12" s="103" t="s">
        <v>50</v>
      </c>
      <c r="B12" s="22">
        <v>1.4E-2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B2AC-D872-B047-BEAF-C184C779EB97}">
  <dimension ref="A1:X63"/>
  <sheetViews>
    <sheetView topLeftCell="I18" zoomScale="74" zoomScaleNormal="123" workbookViewId="0">
      <selection activeCell="D2" sqref="D2"/>
    </sheetView>
  </sheetViews>
  <sheetFormatPr defaultColWidth="11.19921875" defaultRowHeight="15.6" x14ac:dyDescent="0.3"/>
  <cols>
    <col min="1" max="1" width="11.296875" bestFit="1" customWidth="1"/>
    <col min="2" max="2" width="16.296875" customWidth="1"/>
    <col min="3" max="4" width="15.796875" customWidth="1"/>
    <col min="5" max="5" width="14.19921875" bestFit="1" customWidth="1"/>
    <col min="6" max="6" width="14.69921875" bestFit="1" customWidth="1"/>
    <col min="7" max="8" width="11.296875" bestFit="1" customWidth="1"/>
    <col min="9" max="11" width="12.19921875" bestFit="1" customWidth="1"/>
    <col min="12" max="12" width="11.296875" bestFit="1" customWidth="1"/>
    <col min="13" max="13" width="15.796875" bestFit="1" customWidth="1"/>
    <col min="14" max="14" width="16.19921875" bestFit="1" customWidth="1"/>
    <col min="15" max="15" width="17" bestFit="1" customWidth="1"/>
    <col min="16" max="16" width="17.296875" bestFit="1" customWidth="1"/>
    <col min="17" max="18" width="11.296875" bestFit="1" customWidth="1"/>
    <col min="19" max="19" width="12.69921875" bestFit="1" customWidth="1"/>
    <col min="20" max="20" width="16.796875" bestFit="1" customWidth="1"/>
    <col min="21" max="22" width="11.296875" bestFit="1" customWidth="1"/>
    <col min="23" max="23" width="12.19921875" bestFit="1" customWidth="1"/>
    <col min="24" max="24" width="21.796875" customWidth="1"/>
  </cols>
  <sheetData>
    <row r="1" spans="1:24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  <c r="X1" s="9" t="s">
        <v>104</v>
      </c>
    </row>
    <row r="2" spans="1:24" x14ac:dyDescent="0.3">
      <c r="A2" s="41">
        <v>0</v>
      </c>
      <c r="B2">
        <f>DATA!B2*0.8</f>
        <v>80000</v>
      </c>
      <c r="C2">
        <f>DATA!B2*0.2</f>
        <v>20000</v>
      </c>
      <c r="D2">
        <f>B2+C2</f>
        <v>100000</v>
      </c>
      <c r="E2">
        <f>1</f>
        <v>1</v>
      </c>
      <c r="F2">
        <f>1</f>
        <v>1</v>
      </c>
      <c r="G2">
        <f>D2-20</f>
        <v>99980</v>
      </c>
      <c r="H2">
        <f>MAX(D2,DATA!$B$3)</f>
        <v>100000</v>
      </c>
      <c r="M2">
        <f>B2</f>
        <v>80000</v>
      </c>
      <c r="N2">
        <f>C2</f>
        <v>20000</v>
      </c>
      <c r="Q2">
        <f>RATES!G3</f>
        <v>1</v>
      </c>
    </row>
    <row r="3" spans="1:24" x14ac:dyDescent="0.3">
      <c r="A3" s="5">
        <v>1</v>
      </c>
      <c r="B3">
        <f>B2*EXP(RATES!O4)*(1-DATA!$B$6)</f>
        <v>80989.353600000002</v>
      </c>
      <c r="C3">
        <f>C2*EXP(RATES!O4)*(1-DATA!$B$6)</f>
        <v>20247.338400000001</v>
      </c>
      <c r="D3">
        <f>B3+C3</f>
        <v>101236.69200000001</v>
      </c>
      <c r="E3">
        <f>E2*(1-'LIFE TABLE MALE'!D63/1000)</f>
        <v>0.99353212999999996</v>
      </c>
      <c r="F3">
        <f>F2*(1-0.15)</f>
        <v>0.85</v>
      </c>
      <c r="G3">
        <f t="shared" ref="G3:G52" si="0">D3-20</f>
        <v>101216.69200000001</v>
      </c>
      <c r="H3">
        <f>MAX(D3,DATA!$B$3)</f>
        <v>101236.69200000001</v>
      </c>
      <c r="I3">
        <f>G3*DATA!$B$7*F2*E3</f>
        <v>15084.305339147093</v>
      </c>
      <c r="J3">
        <f>H3*'LIFE TABLE MALE'!D63/1000*F2*E2</f>
        <v>654.78576308603999</v>
      </c>
      <c r="K3">
        <f>0</f>
        <v>0</v>
      </c>
      <c r="L3" s="43">
        <f>DATA!$B$8*((1+DATA!$B$9)^A2)*F3*E3</f>
        <v>42.225115525</v>
      </c>
      <c r="M3">
        <f>B2*EXP(RATES!O4)*(DATA!$B$12)</f>
        <v>1159.3568</v>
      </c>
      <c r="N3">
        <f>C2*EXP(RATES!O4)*(DATA!$B$12)</f>
        <v>289.83920000000001</v>
      </c>
      <c r="O3">
        <f>M3+N3</f>
        <v>1449.1959999999999</v>
      </c>
      <c r="P3">
        <f>O3*E3*F3</f>
        <v>1223.849370367358</v>
      </c>
      <c r="Q3">
        <f>RATES!G4</f>
        <v>0.96605290105686192</v>
      </c>
      <c r="R3" s="43">
        <f>P3+L3+K3+J3+I3</f>
        <v>17005.165588125492</v>
      </c>
      <c r="S3">
        <f>R3*Q3</f>
        <v>16427.889549360949</v>
      </c>
      <c r="T3">
        <f>C2*EXP(RATES!O4)*(DATA!$B$6-DATA!$B$12)</f>
        <v>165.62239999999997</v>
      </c>
      <c r="U3">
        <f>B2*EXP(RATES!O4)*(DATA!$B$6-DATA!$B$12)</f>
        <v>662.48959999999988</v>
      </c>
      <c r="V3">
        <f>T3+U3</f>
        <v>828.11199999999985</v>
      </c>
      <c r="W3">
        <f>V3*E3*F3</f>
        <v>699.34249735277581</v>
      </c>
      <c r="X3">
        <f>W3*BASE!Q3</f>
        <v>675.60184839999988</v>
      </c>
    </row>
    <row r="4" spans="1:24" x14ac:dyDescent="0.3">
      <c r="A4" s="5">
        <v>2</v>
      </c>
      <c r="B4">
        <f>B3*EXP(RATES!O5)*(1-DATA!$B$6)</f>
        <v>81233.889418663224</v>
      </c>
      <c r="C4">
        <f>C3*EXP(RATES!O5)*(1-DATA!$B$6)</f>
        <v>20308.472354665806</v>
      </c>
      <c r="D4">
        <f t="shared" ref="D4:D52" si="1">B4+C4</f>
        <v>101542.36177332903</v>
      </c>
      <c r="E4">
        <f>E3*(1-'LIFE TABLE MALE'!D64/1000)</f>
        <v>0.98647779355864618</v>
      </c>
      <c r="F4">
        <f t="shared" ref="F4:F52" si="2">F3*(1-0.15)</f>
        <v>0.72249999999999992</v>
      </c>
      <c r="G4">
        <f t="shared" si="0"/>
        <v>101522.36177332903</v>
      </c>
      <c r="H4">
        <f>MAX(D4,DATA!$B$3)</f>
        <v>101542.36177332903</v>
      </c>
      <c r="I4">
        <f>G4*DATA!$B$7*F3*E4</f>
        <v>12769.068318474574</v>
      </c>
      <c r="J4">
        <f>H4*'LIFE TABLE MALE'!D64/1000*F3*E3</f>
        <v>608.86688554891703</v>
      </c>
      <c r="K4">
        <f>0</f>
        <v>0</v>
      </c>
      <c r="L4" s="43">
        <f>DATA!$B$8*((1+DATA!$B$9)^A3)*F4*E4</f>
        <v>36.349240498152213</v>
      </c>
      <c r="M4">
        <f>B3*EXP(RATES!O5)*(DATA!$B$12)</f>
        <v>1162.8573127416005</v>
      </c>
      <c r="N4">
        <f>C3*EXP(RATES!O5)*(DATA!$B$12)</f>
        <v>290.71432818540012</v>
      </c>
      <c r="O4">
        <f t="shared" ref="O4:O52" si="3">M4+N4</f>
        <v>1453.5716409270005</v>
      </c>
      <c r="P4">
        <f t="shared" ref="P4:P52" si="4">O4*E4*F4</f>
        <v>1036.0044148499862</v>
      </c>
      <c r="Q4">
        <f>RATES!G5</f>
        <v>0.94195563634332236</v>
      </c>
      <c r="R4" s="43">
        <f t="shared" ref="R4:R52" si="5">P4+L4+K4+J4+I4</f>
        <v>14450.288859371629</v>
      </c>
      <c r="S4">
        <f t="shared" ref="S4:S52" si="6">R4*Q4</f>
        <v>13611.531037874225</v>
      </c>
      <c r="T4">
        <f>C3*EXP(RATES!O5)*(DATA!$B$6-DATA!$B$12)</f>
        <v>166.12247324880002</v>
      </c>
      <c r="U4">
        <f>B3*EXP(RATES!O5)*(DATA!$B$6-DATA!$B$12)</f>
        <v>664.48989299520008</v>
      </c>
      <c r="V4">
        <f t="shared" ref="V4:V51" si="7">T4+U4</f>
        <v>830.6123662440001</v>
      </c>
      <c r="W4">
        <f t="shared" ref="W4:W52" si="8">V4*E4*F4</f>
        <v>592.00252277142056</v>
      </c>
      <c r="X4">
        <f>W4*BASE!Q4</f>
        <v>557.64011305400561</v>
      </c>
    </row>
    <row r="5" spans="1:24" x14ac:dyDescent="0.3">
      <c r="A5" s="5">
        <v>3</v>
      </c>
      <c r="B5">
        <f>B4*EXP(RATES!O6)*(1-DATA!$B$6)</f>
        <v>81258.802918728528</v>
      </c>
      <c r="C5">
        <f>C4*EXP(RATES!O6)*(1-DATA!$B$6)</f>
        <v>20314.700729682132</v>
      </c>
      <c r="D5">
        <f t="shared" si="1"/>
        <v>101573.50364841067</v>
      </c>
      <c r="E5">
        <f>E4*(1-'LIFE TABLE MALE'!D65/1000)</f>
        <v>0.97876837095420599</v>
      </c>
      <c r="F5">
        <f t="shared" si="2"/>
        <v>0.61412499999999992</v>
      </c>
      <c r="G5">
        <f t="shared" si="0"/>
        <v>101553.50364841067</v>
      </c>
      <c r="H5">
        <f>MAX(D5,DATA!$B$3)</f>
        <v>101573.50364841067</v>
      </c>
      <c r="I5">
        <f>G5*DATA!$B$7*F4*E5</f>
        <v>10772.188600708858</v>
      </c>
      <c r="J5">
        <f>H5*'LIFE TABLE MALE'!D65/1000*F4*E4</f>
        <v>565.77028949085366</v>
      </c>
      <c r="K5">
        <f>0</f>
        <v>0</v>
      </c>
      <c r="L5" s="43">
        <f>DATA!$B$8*((1+DATA!$B$9)^A4)*F5*E5</f>
        <v>31.268500264753332</v>
      </c>
      <c r="M5">
        <f>B4*EXP(RATES!O6)*(DATA!$B$12)</f>
        <v>1163.2139477118603</v>
      </c>
      <c r="N5">
        <f>C4*EXP(RATES!O6)*(DATA!$B$12)</f>
        <v>290.80348692796508</v>
      </c>
      <c r="O5">
        <f t="shared" si="3"/>
        <v>1454.0174346398253</v>
      </c>
      <c r="P5">
        <f t="shared" si="4"/>
        <v>873.98970665112142</v>
      </c>
      <c r="Q5">
        <f>RATES!G6</f>
        <v>0.92095016751412107</v>
      </c>
      <c r="R5" s="43">
        <f t="shared" si="5"/>
        <v>12243.217097115587</v>
      </c>
      <c r="S5">
        <f t="shared" si="6"/>
        <v>11275.39283650035</v>
      </c>
      <c r="T5">
        <f>C4*EXP(RATES!O6)*(DATA!$B$6-DATA!$B$12)</f>
        <v>166.17342110169432</v>
      </c>
      <c r="U5">
        <f>B4*EXP(RATES!O6)*(DATA!$B$6-DATA!$B$12)</f>
        <v>664.69368440677727</v>
      </c>
      <c r="V5">
        <f t="shared" si="7"/>
        <v>830.86710550847158</v>
      </c>
      <c r="W5">
        <f t="shared" si="8"/>
        <v>499.42268951492656</v>
      </c>
      <c r="X5">
        <f>W5*BASE!Q5</f>
        <v>459.94340956912447</v>
      </c>
    </row>
    <row r="6" spans="1:24" x14ac:dyDescent="0.3">
      <c r="A6" s="5">
        <v>4</v>
      </c>
      <c r="B6">
        <f>B5*EXP(RATES!O7)*(1-DATA!$B$6)</f>
        <v>81219.666893987174</v>
      </c>
      <c r="C6">
        <f>C5*EXP(RATES!O7)*(1-DATA!$B$6)</f>
        <v>20304.916723496794</v>
      </c>
      <c r="D6">
        <f t="shared" si="1"/>
        <v>101524.58361748396</v>
      </c>
      <c r="E6">
        <f>E5*(1-'LIFE TABLE MALE'!D66/1000)</f>
        <v>0.97028747025977602</v>
      </c>
      <c r="F6">
        <f t="shared" si="2"/>
        <v>0.52200624999999989</v>
      </c>
      <c r="G6">
        <f t="shared" si="0"/>
        <v>101504.58361748396</v>
      </c>
      <c r="H6">
        <f>MAX(D6,DATA!$B$3)</f>
        <v>101524.58361748396</v>
      </c>
      <c r="I6">
        <f>G6*DATA!$B$7*F5*E6</f>
        <v>9072.6490848310841</v>
      </c>
      <c r="J6">
        <f>H6*'LIFE TABLE MALE'!D66/1000*F5*E5</f>
        <v>528.77385327474815</v>
      </c>
      <c r="K6">
        <f>0</f>
        <v>0</v>
      </c>
      <c r="L6" s="43">
        <f>DATA!$B$8*((1+DATA!$B$9)^A5)*F6*E6</f>
        <v>26.874886925807328</v>
      </c>
      <c r="M6">
        <f>B5*EXP(RATES!O7)*(DATA!$B$12)</f>
        <v>1162.6537183188348</v>
      </c>
      <c r="N6">
        <f>C5*EXP(RATES!O7)*(DATA!$B$12)</f>
        <v>290.66342957970869</v>
      </c>
      <c r="O6">
        <f t="shared" si="3"/>
        <v>1453.3171478985435</v>
      </c>
      <c r="P6">
        <f t="shared" si="4"/>
        <v>736.09950202241521</v>
      </c>
      <c r="Q6">
        <f>RATES!G7</f>
        <v>0.90112326459071324</v>
      </c>
      <c r="R6" s="43">
        <f t="shared" si="5"/>
        <v>10364.397327054055</v>
      </c>
      <c r="S6">
        <f t="shared" si="6"/>
        <v>9339.5995548702122</v>
      </c>
      <c r="T6">
        <f>C5*EXP(RATES!O7)*(DATA!$B$6-DATA!$B$12)</f>
        <v>166.09338833126208</v>
      </c>
      <c r="U6">
        <f>B5*EXP(RATES!O7)*(DATA!$B$6-DATA!$B$12)</f>
        <v>664.37355332504831</v>
      </c>
      <c r="V6">
        <f t="shared" si="7"/>
        <v>830.46694165631038</v>
      </c>
      <c r="W6">
        <f t="shared" si="8"/>
        <v>420.62828686995147</v>
      </c>
      <c r="X6">
        <f>W6*BASE!Q6</f>
        <v>379.03793504344969</v>
      </c>
    </row>
    <row r="7" spans="1:24" x14ac:dyDescent="0.3">
      <c r="A7" s="6">
        <v>5</v>
      </c>
      <c r="B7">
        <f>B6*EXP(RATES!O8)*(1-DATA!$B$6)</f>
        <v>81178.572400251767</v>
      </c>
      <c r="C7">
        <f>C6*EXP(RATES!O8)*(1-DATA!$B$6)</f>
        <v>20294.643100062942</v>
      </c>
      <c r="D7">
        <f t="shared" si="1"/>
        <v>101473.21550031471</v>
      </c>
      <c r="E7">
        <f>E6*(1-'LIFE TABLE MALE'!D67/1000)</f>
        <v>0.9609215763955995</v>
      </c>
      <c r="F7">
        <f t="shared" si="2"/>
        <v>0.44370531249999989</v>
      </c>
      <c r="G7">
        <f t="shared" si="0"/>
        <v>101453.21550031471</v>
      </c>
      <c r="H7">
        <f>MAX(D7,DATA!$B$3)</f>
        <v>101473.21550031471</v>
      </c>
      <c r="I7">
        <f>G7*DATA!$B$7*F6*E7</f>
        <v>7633.4475046572315</v>
      </c>
      <c r="J7">
        <f>H7*'LIFE TABLE MALE'!D67/1000*F6*E6</f>
        <v>496.10814519888925</v>
      </c>
      <c r="K7">
        <f>0</f>
        <v>0</v>
      </c>
      <c r="L7" s="43">
        <f>DATA!$B$8*((1+DATA!$B$9)^A6)*F7*E7</f>
        <v>23.075613968043037</v>
      </c>
      <c r="M7">
        <f>B6*EXP(RATES!O8)*(DATA!$B$12)</f>
        <v>1162.0654535823362</v>
      </c>
      <c r="N7">
        <f>C6*EXP(RATES!O8)*(DATA!$B$12)</f>
        <v>290.51636339558405</v>
      </c>
      <c r="O7">
        <f t="shared" si="3"/>
        <v>1452.5818169779202</v>
      </c>
      <c r="P7">
        <f t="shared" si="4"/>
        <v>619.33151109591984</v>
      </c>
      <c r="Q7">
        <f>RATES!G8</f>
        <v>0.88174468672828554</v>
      </c>
      <c r="R7" s="43">
        <f t="shared" si="5"/>
        <v>8771.9627749200845</v>
      </c>
      <c r="S7">
        <f t="shared" si="6"/>
        <v>7734.6315689640924</v>
      </c>
      <c r="T7">
        <f>C6*EXP(RATES!O8)*(DATA!$B$6-DATA!$B$12)</f>
        <v>166.00935051176228</v>
      </c>
      <c r="U7">
        <f>B6*EXP(RATES!O8)*(DATA!$B$6-DATA!$B$12)</f>
        <v>664.03740204704911</v>
      </c>
      <c r="V7">
        <f t="shared" si="7"/>
        <v>830.04675255881136</v>
      </c>
      <c r="W7">
        <f t="shared" si="8"/>
        <v>353.90372062623987</v>
      </c>
      <c r="X7">
        <f>W7*BASE!Q7</f>
        <v>312.05272527555854</v>
      </c>
    </row>
    <row r="8" spans="1:24" x14ac:dyDescent="0.3">
      <c r="A8" s="5">
        <v>6</v>
      </c>
      <c r="B8">
        <f>B7*EXP(RATES!O9)*(1-DATA!$B$6)</f>
        <v>81192.731414463822</v>
      </c>
      <c r="C8">
        <f>C7*EXP(RATES!O9)*(1-DATA!$B$6)</f>
        <v>20298.182853615956</v>
      </c>
      <c r="D8">
        <f t="shared" si="1"/>
        <v>101490.91426807978</v>
      </c>
      <c r="E8">
        <f>E7*(1-'LIFE TABLE MALE'!D68/1000)</f>
        <v>0.95054816852958335</v>
      </c>
      <c r="F8">
        <f t="shared" si="2"/>
        <v>0.37714951562499988</v>
      </c>
      <c r="G8">
        <f t="shared" si="0"/>
        <v>101470.91426807978</v>
      </c>
      <c r="H8">
        <f>MAX(D8,DATA!$B$3)</f>
        <v>101490.91426807978</v>
      </c>
      <c r="I8">
        <f>G8*DATA!$B$7*F7*E8</f>
        <v>6419.5057246724646</v>
      </c>
      <c r="J8">
        <f>H8*'LIFE TABLE MALE'!D68/1000*F7*E7</f>
        <v>467.13590292936431</v>
      </c>
      <c r="K8">
        <f>0</f>
        <v>0</v>
      </c>
      <c r="L8" s="43">
        <f>DATA!$B$8*((1+DATA!$B$9)^A7)*F8*E8</f>
        <v>19.790581122358219</v>
      </c>
      <c r="M8">
        <f>B7*EXP(RATES!O9)*(DATA!$B$12)</f>
        <v>1162.2681388573553</v>
      </c>
      <c r="N8">
        <f>C7*EXP(RATES!O9)*(DATA!$B$12)</f>
        <v>290.56703471433883</v>
      </c>
      <c r="O8">
        <f t="shared" si="3"/>
        <v>1452.8351735716942</v>
      </c>
      <c r="P8">
        <f t="shared" si="4"/>
        <v>520.83963921212387</v>
      </c>
      <c r="Q8">
        <f>RATES!G9</f>
        <v>0.86219592102620646</v>
      </c>
      <c r="R8" s="43">
        <f t="shared" si="5"/>
        <v>7427.2718479363111</v>
      </c>
      <c r="S8">
        <f t="shared" si="6"/>
        <v>6403.7634916434627</v>
      </c>
      <c r="T8">
        <f>C7*EXP(RATES!O9)*(DATA!$B$6-DATA!$B$12)</f>
        <v>166.03830555105071</v>
      </c>
      <c r="U8">
        <f>B7*EXP(RATES!O9)*(DATA!$B$6-DATA!$B$12)</f>
        <v>664.15322220420285</v>
      </c>
      <c r="V8">
        <f t="shared" si="7"/>
        <v>830.19152775525356</v>
      </c>
      <c r="W8">
        <f t="shared" si="8"/>
        <v>297.62265097835643</v>
      </c>
      <c r="X8">
        <f>W8*BASE!Q8</f>
        <v>256.60903567854518</v>
      </c>
    </row>
    <row r="9" spans="1:24" x14ac:dyDescent="0.3">
      <c r="A9" s="5">
        <v>7</v>
      </c>
      <c r="B9">
        <f>B8*EXP(RATES!O10)*(1-DATA!$B$6)</f>
        <v>81254.382012178379</v>
      </c>
      <c r="C9">
        <f>C8*EXP(RATES!O10)*(1-DATA!$B$6)</f>
        <v>20313.595503044595</v>
      </c>
      <c r="D9">
        <f t="shared" si="1"/>
        <v>101567.97751522297</v>
      </c>
      <c r="E9">
        <f>E8*(1-'LIFE TABLE MALE'!D69/1000)</f>
        <v>0.93939989246654454</v>
      </c>
      <c r="F9">
        <f t="shared" si="2"/>
        <v>0.32057708828124987</v>
      </c>
      <c r="G9">
        <f t="shared" si="0"/>
        <v>101547.97751522297</v>
      </c>
      <c r="H9">
        <f>MAX(D9,DATA!$B$3)</f>
        <v>101567.97751522297</v>
      </c>
      <c r="I9">
        <f>G9*DATA!$B$7*F8*E9</f>
        <v>5396.6791379838251</v>
      </c>
      <c r="J9">
        <f>H9*'LIFE TABLE MALE'!D69/1000*F8*E8</f>
        <v>427.04935811035057</v>
      </c>
      <c r="K9">
        <f>0</f>
        <v>0</v>
      </c>
      <c r="L9" s="43">
        <f>DATA!$B$8*((1+DATA!$B$9)^A8)*F9*E9</f>
        <v>16.957195259897361</v>
      </c>
      <c r="M9">
        <f>B8*EXP(RATES!O10)*(DATA!$B$12)</f>
        <v>1163.1506627510198</v>
      </c>
      <c r="N9">
        <f>C8*EXP(RATES!O10)*(DATA!$B$12)</f>
        <v>290.78766568775495</v>
      </c>
      <c r="O9">
        <f t="shared" si="3"/>
        <v>1453.9383284387748</v>
      </c>
      <c r="P9">
        <f t="shared" si="4"/>
        <v>437.85364720833252</v>
      </c>
      <c r="Q9">
        <f>RATES!G10</f>
        <v>0.84258782390013232</v>
      </c>
      <c r="R9" s="43">
        <f t="shared" si="5"/>
        <v>6278.5393385624056</v>
      </c>
      <c r="S9">
        <f t="shared" si="6"/>
        <v>5290.2207985506739</v>
      </c>
      <c r="T9">
        <f>C8*EXP(RATES!O10)*(DATA!$B$6-DATA!$B$12)</f>
        <v>166.1643803930028</v>
      </c>
      <c r="U9">
        <f>B8*EXP(RATES!O10)*(DATA!$B$6-DATA!$B$12)</f>
        <v>664.65752157201121</v>
      </c>
      <c r="V9">
        <f t="shared" si="7"/>
        <v>830.82190196501404</v>
      </c>
      <c r="W9">
        <f t="shared" si="8"/>
        <v>250.2020841190471</v>
      </c>
      <c r="X9">
        <f>W9*BASE!Q9</f>
        <v>210.81722959314575</v>
      </c>
    </row>
    <row r="10" spans="1:24" x14ac:dyDescent="0.3">
      <c r="A10" s="5">
        <v>8</v>
      </c>
      <c r="B10">
        <f>B9*EXP(RATES!O11)*(1-DATA!$B$6)</f>
        <v>81365.273383019157</v>
      </c>
      <c r="C10">
        <f>C9*EXP(RATES!O11)*(1-DATA!$B$6)</f>
        <v>20341.318345754789</v>
      </c>
      <c r="D10">
        <f t="shared" si="1"/>
        <v>101706.59172877394</v>
      </c>
      <c r="E10">
        <f>E9*(1-'LIFE TABLE MALE'!D70/1000)</f>
        <v>0.9273775090067512</v>
      </c>
      <c r="F10">
        <f t="shared" si="2"/>
        <v>0.2724905250390624</v>
      </c>
      <c r="G10">
        <f t="shared" si="0"/>
        <v>101686.59172877394</v>
      </c>
      <c r="H10">
        <f>MAX(D10,DATA!$B$3)</f>
        <v>101706.59172877394</v>
      </c>
      <c r="I10">
        <f>G10*DATA!$B$7*F9*E10</f>
        <v>4534.6522651518371</v>
      </c>
      <c r="J10">
        <f>H10*'LIFE TABLE MALE'!D70/1000*F9*E9</f>
        <v>391.98744472285392</v>
      </c>
      <c r="K10">
        <f>0</f>
        <v>0</v>
      </c>
      <c r="L10" s="43">
        <f>DATA!$B$8*((1+DATA!$B$9)^A9)*F10*E10</f>
        <v>14.51373440610465</v>
      </c>
      <c r="M10">
        <f>B9*EXP(RATES!O11)*(DATA!$B$12)</f>
        <v>1164.7380647875952</v>
      </c>
      <c r="N10">
        <f>C9*EXP(RATES!O11)*(DATA!$B$12)</f>
        <v>291.18451619689881</v>
      </c>
      <c r="O10">
        <f t="shared" si="3"/>
        <v>1455.9225809844941</v>
      </c>
      <c r="P10">
        <f t="shared" si="4"/>
        <v>367.91394288922356</v>
      </c>
      <c r="Q10">
        <f>RATES!G11</f>
        <v>0.82292780659029441</v>
      </c>
      <c r="R10" s="43">
        <f t="shared" si="5"/>
        <v>5309.0673871700192</v>
      </c>
      <c r="S10">
        <f t="shared" si="6"/>
        <v>4368.9791799638888</v>
      </c>
      <c r="T10">
        <f>C9*EXP(RATES!O11)*(DATA!$B$6-DATA!$B$12)</f>
        <v>166.39115211251357</v>
      </c>
      <c r="U10">
        <f>B9*EXP(RATES!O11)*(DATA!$B$6-DATA!$B$12)</f>
        <v>665.56460845005427</v>
      </c>
      <c r="V10">
        <f t="shared" si="7"/>
        <v>831.95576056256778</v>
      </c>
      <c r="W10">
        <f t="shared" si="8"/>
        <v>210.23653879384193</v>
      </c>
      <c r="X10">
        <f>W10*BASE!Q10</f>
        <v>173.00949373475169</v>
      </c>
    </row>
    <row r="11" spans="1:24" x14ac:dyDescent="0.3">
      <c r="A11" s="5">
        <v>9</v>
      </c>
      <c r="B11">
        <f>B10*EXP(RATES!O12)*(1-DATA!$B$6)</f>
        <v>81523.24029763104</v>
      </c>
      <c r="C11">
        <f>C10*EXP(RATES!O12)*(1-DATA!$B$6)</f>
        <v>20380.81007440776</v>
      </c>
      <c r="D11">
        <f t="shared" si="1"/>
        <v>101904.05037203879</v>
      </c>
      <c r="E11">
        <f>E10*(1-'LIFE TABLE MALE'!D71/1000)</f>
        <v>0.91441741759215689</v>
      </c>
      <c r="F11">
        <f t="shared" si="2"/>
        <v>0.23161694628320303</v>
      </c>
      <c r="G11">
        <f t="shared" si="0"/>
        <v>101884.05037203879</v>
      </c>
      <c r="H11">
        <f>MAX(D11,DATA!$B$3)</f>
        <v>101904.05037203879</v>
      </c>
      <c r="I11">
        <f>G11*DATA!$B$7*F10*E11</f>
        <v>3807.9685812856715</v>
      </c>
      <c r="J11">
        <f>H11*'LIFE TABLE MALE'!D71/1000*F10*E10</f>
        <v>359.87436932594375</v>
      </c>
      <c r="K11">
        <f>0</f>
        <v>0</v>
      </c>
      <c r="L11" s="43">
        <f>DATA!$B$8*((1+DATA!$B$9)^A10)*F11*E11</f>
        <v>12.407554732898763</v>
      </c>
      <c r="M11">
        <f>B10*EXP(RATES!O12)*(DATA!$B$12)</f>
        <v>1166.9993498638389</v>
      </c>
      <c r="N11">
        <f>C10*EXP(RATES!O12)*(DATA!$B$12)</f>
        <v>291.74983746595973</v>
      </c>
      <c r="O11">
        <f t="shared" si="3"/>
        <v>1458.7491873297986</v>
      </c>
      <c r="P11">
        <f t="shared" si="4"/>
        <v>308.95515670916768</v>
      </c>
      <c r="Q11">
        <f>RATES!G12</f>
        <v>0.80326389514893892</v>
      </c>
      <c r="R11" s="43">
        <f t="shared" si="5"/>
        <v>4489.2056620536814</v>
      </c>
      <c r="S11">
        <f t="shared" si="6"/>
        <v>3606.0168262259112</v>
      </c>
      <c r="T11">
        <f>C10*EXP(RATES!O12)*(DATA!$B$6-DATA!$B$12)</f>
        <v>166.71419283769126</v>
      </c>
      <c r="U11">
        <f>B10*EXP(RATES!O12)*(DATA!$B$6-DATA!$B$12)</f>
        <v>666.85677135076503</v>
      </c>
      <c r="V11">
        <f t="shared" si="7"/>
        <v>833.57096418845629</v>
      </c>
      <c r="W11">
        <f t="shared" si="8"/>
        <v>176.54580383381011</v>
      </c>
      <c r="X11">
        <f>W11*BASE!Q11</f>
        <v>141.81287005974679</v>
      </c>
    </row>
    <row r="12" spans="1:24" x14ac:dyDescent="0.3">
      <c r="A12" s="6">
        <v>10</v>
      </c>
      <c r="B12">
        <f>B11*EXP(RATES!O13)*(1-DATA!$B$6)</f>
        <v>81742.119978905175</v>
      </c>
      <c r="C12">
        <f>C11*EXP(RATES!O13)*(1-DATA!$B$6)</f>
        <v>20435.529994726294</v>
      </c>
      <c r="D12">
        <f t="shared" si="1"/>
        <v>102177.64997363147</v>
      </c>
      <c r="E12">
        <f>E11*(1-'LIFE TABLE MALE'!D72/1000)</f>
        <v>0.90009759511179277</v>
      </c>
      <c r="F12">
        <f t="shared" si="2"/>
        <v>0.19687440434072256</v>
      </c>
      <c r="G12">
        <f t="shared" si="0"/>
        <v>102157.64997363147</v>
      </c>
      <c r="H12">
        <f>MAX(D12,DATA!$B$3)</f>
        <v>102177.64997363147</v>
      </c>
      <c r="I12">
        <f>G12*DATA!$B$7*F11*E12</f>
        <v>3194.641181233852</v>
      </c>
      <c r="J12">
        <f>H12*'LIFE TABLE MALE'!D72/1000*F11*E11</f>
        <v>338.89399660583769</v>
      </c>
      <c r="K12">
        <f>0</f>
        <v>0</v>
      </c>
      <c r="L12" s="43">
        <f>DATA!$B$8*((1+DATA!$B$9)^A11)*F12*E12</f>
        <v>10.588889315285121</v>
      </c>
      <c r="M12">
        <f>B11*EXP(RATES!O13)*(DATA!$B$12)</f>
        <v>1170.1325968350434</v>
      </c>
      <c r="N12">
        <f>C11*EXP(RATES!O13)*(DATA!$B$12)</f>
        <v>292.53314920876085</v>
      </c>
      <c r="O12">
        <f t="shared" si="3"/>
        <v>1462.6657460438041</v>
      </c>
      <c r="P12">
        <f t="shared" si="4"/>
        <v>259.19340638141824</v>
      </c>
      <c r="Q12">
        <f>RATES!G13</f>
        <v>0.78348852098697186</v>
      </c>
      <c r="R12" s="43">
        <f t="shared" si="5"/>
        <v>3803.3174735363928</v>
      </c>
      <c r="S12">
        <f t="shared" si="6"/>
        <v>2979.855582184935</v>
      </c>
      <c r="T12">
        <f>C11*EXP(RATES!O13)*(DATA!$B$6-DATA!$B$12)</f>
        <v>167.1617995478633</v>
      </c>
      <c r="U12">
        <f>B11*EXP(RATES!O13)*(DATA!$B$6-DATA!$B$12)</f>
        <v>668.64719819145319</v>
      </c>
      <c r="V12">
        <f t="shared" si="7"/>
        <v>835.80899773931651</v>
      </c>
      <c r="W12">
        <f t="shared" si="8"/>
        <v>148.11051793223896</v>
      </c>
      <c r="X12">
        <f>W12*BASE!Q12</f>
        <v>116.04289063734429</v>
      </c>
    </row>
    <row r="13" spans="1:24" x14ac:dyDescent="0.3">
      <c r="A13" s="5">
        <v>11</v>
      </c>
      <c r="B13">
        <f>B12*EXP(RATES!O14)*(1-DATA!$B$6)</f>
        <v>82068.023997806304</v>
      </c>
      <c r="C13">
        <f>C12*EXP(RATES!O14)*(1-DATA!$B$6)</f>
        <v>20517.005999451576</v>
      </c>
      <c r="D13">
        <f t="shared" si="1"/>
        <v>102585.02999725788</v>
      </c>
      <c r="E13">
        <f>E12*(1-'LIFE TABLE MALE'!D73/1000)</f>
        <v>0.88436966777579928</v>
      </c>
      <c r="F13">
        <f t="shared" si="2"/>
        <v>0.16734324368961417</v>
      </c>
      <c r="G13">
        <f t="shared" si="0"/>
        <v>102565.02999725788</v>
      </c>
      <c r="H13">
        <f>MAX(D13,DATA!$B$3)</f>
        <v>102585.02999725788</v>
      </c>
      <c r="I13">
        <f>G13*DATA!$B$7*F12*E13</f>
        <v>2678.6357837405649</v>
      </c>
      <c r="J13">
        <f>H13*'LIFE TABLE MALE'!D73/1000*F12*E12</f>
        <v>317.64698751524986</v>
      </c>
      <c r="K13">
        <f>0</f>
        <v>0</v>
      </c>
      <c r="L13" s="43">
        <f>DATA!$B$8*((1+DATA!$B$9)^A12)*F13*E13</f>
        <v>9.0201496637971381</v>
      </c>
      <c r="M13">
        <f>B12*EXP(RATES!O14)*(DATA!$B$12)</f>
        <v>1174.7978895391495</v>
      </c>
      <c r="N13">
        <f>C12*EXP(RATES!O14)*(DATA!$B$12)</f>
        <v>293.69947238478738</v>
      </c>
      <c r="O13">
        <f t="shared" si="3"/>
        <v>1468.497361923937</v>
      </c>
      <c r="P13">
        <f t="shared" si="4"/>
        <v>217.32775422388158</v>
      </c>
      <c r="Q13">
        <f>RATES!G14</f>
        <v>0.76320887666583526</v>
      </c>
      <c r="R13" s="43">
        <f t="shared" si="5"/>
        <v>3222.6306751434936</v>
      </c>
      <c r="S13">
        <f t="shared" si="6"/>
        <v>2459.540337485128</v>
      </c>
      <c r="T13">
        <f>C12*EXP(RATES!O14)*(DATA!$B$6-DATA!$B$12)</f>
        <v>167.82826993416418</v>
      </c>
      <c r="U13">
        <f>B12*EXP(RATES!O14)*(DATA!$B$6-DATA!$B$12)</f>
        <v>671.31307973665673</v>
      </c>
      <c r="V13">
        <f t="shared" si="7"/>
        <v>839.14134967082089</v>
      </c>
      <c r="W13">
        <f t="shared" si="8"/>
        <v>124.18728812793231</v>
      </c>
      <c r="X13">
        <f>W13*BASE!Q13</f>
        <v>94.780840668295639</v>
      </c>
    </row>
    <row r="14" spans="1:24" x14ac:dyDescent="0.3">
      <c r="A14" s="5">
        <v>12</v>
      </c>
      <c r="B14">
        <f>B13*EXP(RATES!O15)*(1-DATA!$B$6)</f>
        <v>82258.656528029838</v>
      </c>
      <c r="C14">
        <f>C13*EXP(RATES!O15)*(1-DATA!$B$6)</f>
        <v>20564.66413200746</v>
      </c>
      <c r="D14">
        <f t="shared" si="1"/>
        <v>102823.32066003729</v>
      </c>
      <c r="E14">
        <f>E13*(1-'LIFE TABLE MALE'!D74/1000)</f>
        <v>0.86691443914546784</v>
      </c>
      <c r="F14">
        <f t="shared" si="2"/>
        <v>0.14224175713617204</v>
      </c>
      <c r="G14">
        <f t="shared" si="0"/>
        <v>102803.32066003729</v>
      </c>
      <c r="H14">
        <f>MAX(D14,DATA!$B$3)</f>
        <v>102823.32066003729</v>
      </c>
      <c r="I14">
        <f>G14*DATA!$B$7*F13*E14</f>
        <v>2237.0867292591656</v>
      </c>
      <c r="J14">
        <f>H14*'LIFE TABLE MALE'!D74/1000*F13*E13</f>
        <v>300.34841864165645</v>
      </c>
      <c r="K14">
        <f>0</f>
        <v>0</v>
      </c>
      <c r="L14" s="43">
        <f>DATA!$B$8*((1+DATA!$B$9)^A13)*F14*E14</f>
        <v>7.6661133930628793</v>
      </c>
      <c r="M14">
        <f>B13*EXP(RATES!O15)*(DATA!$B$12)</f>
        <v>1177.5267805648443</v>
      </c>
      <c r="N14">
        <f>C13*EXP(RATES!O15)*(DATA!$B$12)</f>
        <v>294.38169514121108</v>
      </c>
      <c r="O14">
        <f t="shared" si="3"/>
        <v>1471.9084757060555</v>
      </c>
      <c r="P14">
        <f t="shared" si="4"/>
        <v>181.50314354720334</v>
      </c>
      <c r="Q14">
        <f>RATES!G15</f>
        <v>0.74468847430975171</v>
      </c>
      <c r="R14" s="44">
        <f t="shared" si="5"/>
        <v>2726.6044048410881</v>
      </c>
      <c r="S14">
        <f t="shared" si="6"/>
        <v>2030.4708742873586</v>
      </c>
      <c r="T14">
        <f>C13*EXP(RATES!O15)*(DATA!$B$6-DATA!$B$12)</f>
        <v>168.21811150926345</v>
      </c>
      <c r="U14">
        <f>B13*EXP(RATES!O15)*(DATA!$B$6-DATA!$B$12)</f>
        <v>672.87244603705381</v>
      </c>
      <c r="V14">
        <f t="shared" si="7"/>
        <v>841.09055754631731</v>
      </c>
      <c r="W14">
        <f t="shared" si="8"/>
        <v>103.71608202697331</v>
      </c>
      <c r="X14">
        <f>W14*BASE!Q14</f>
        <v>77.236170886051809</v>
      </c>
    </row>
    <row r="15" spans="1:24" x14ac:dyDescent="0.3">
      <c r="A15" s="5">
        <v>13</v>
      </c>
      <c r="B15">
        <f>B14*EXP(RATES!O16)*(1-DATA!$B$6)</f>
        <v>82502.039008492662</v>
      </c>
      <c r="C15">
        <f>C14*EXP(RATES!O16)*(1-DATA!$B$6)</f>
        <v>20625.509752123166</v>
      </c>
      <c r="D15">
        <f t="shared" si="1"/>
        <v>103127.54876061583</v>
      </c>
      <c r="E15">
        <f>E14*(1-'LIFE TABLE MALE'!D75/1000)</f>
        <v>0.84808352308867097</v>
      </c>
      <c r="F15">
        <f t="shared" si="2"/>
        <v>0.12090549356574623</v>
      </c>
      <c r="G15">
        <f t="shared" si="0"/>
        <v>103107.54876061583</v>
      </c>
      <c r="H15">
        <f>MAX(D15,DATA!$B$3)</f>
        <v>103127.54876061583</v>
      </c>
      <c r="I15">
        <f>G15*DATA!$B$7*F14*E15</f>
        <v>1865.7242462503618</v>
      </c>
      <c r="J15">
        <f>H15*'LIFE TABLE MALE'!D75/1000*F14*E14</f>
        <v>276.23153139286904</v>
      </c>
      <c r="K15">
        <f>0</f>
        <v>0</v>
      </c>
      <c r="L15" s="43">
        <f>DATA!$B$8*((1+DATA!$B$9)^A14)*F15*E15</f>
        <v>6.5021461262725833</v>
      </c>
      <c r="M15">
        <f>B14*EXP(RATES!O16)*(DATA!$B$12)</f>
        <v>1181.0107833526558</v>
      </c>
      <c r="N15">
        <f>C14*EXP(RATES!O16)*(DATA!$B$12)</f>
        <v>295.25269583816396</v>
      </c>
      <c r="O15">
        <f t="shared" si="3"/>
        <v>1476.2634791908199</v>
      </c>
      <c r="P15">
        <f t="shared" si="4"/>
        <v>151.37304106728669</v>
      </c>
      <c r="Q15">
        <f>RATES!G16</f>
        <v>0.72615681422166556</v>
      </c>
      <c r="R15" s="44">
        <f t="shared" si="5"/>
        <v>2299.8309648367904</v>
      </c>
      <c r="S15">
        <f t="shared" si="6"/>
        <v>1670.0379266742229</v>
      </c>
      <c r="T15">
        <f>C14*EXP(RATES!O16)*(DATA!$B$6-DATA!$B$12)</f>
        <v>168.7158261932365</v>
      </c>
      <c r="U15">
        <f>B14*EXP(RATES!O16)*(DATA!$B$6-DATA!$B$12)</f>
        <v>674.86330477294598</v>
      </c>
      <c r="V15">
        <f t="shared" si="7"/>
        <v>843.57913096618245</v>
      </c>
      <c r="W15">
        <f t="shared" si="8"/>
        <v>86.498880609878071</v>
      </c>
      <c r="X15">
        <f>W15*BASE!Q15</f>
        <v>62.811751577409261</v>
      </c>
    </row>
    <row r="16" spans="1:24" x14ac:dyDescent="0.3">
      <c r="A16" s="5">
        <v>14</v>
      </c>
      <c r="B16">
        <f>B15*EXP(RATES!O17)*(1-DATA!$B$6)</f>
        <v>82776.822411940768</v>
      </c>
      <c r="C16">
        <f>C15*EXP(RATES!O17)*(1-DATA!$B$6)</f>
        <v>20694.205602985192</v>
      </c>
      <c r="D16">
        <f t="shared" si="1"/>
        <v>103471.02801492596</v>
      </c>
      <c r="E16">
        <f>E15*(1-'LIFE TABLE MALE'!D76/1000)</f>
        <v>0.82779649169036118</v>
      </c>
      <c r="F16">
        <f t="shared" si="2"/>
        <v>0.10276966953088429</v>
      </c>
      <c r="G16">
        <f t="shared" si="0"/>
        <v>103451.02801492596</v>
      </c>
      <c r="H16">
        <f>MAX(D16,DATA!$B$3)</f>
        <v>103471.02801492596</v>
      </c>
      <c r="I16">
        <f>G16*DATA!$B$7*F15*E16</f>
        <v>1553.0866460598411</v>
      </c>
      <c r="J16">
        <f>H16*'LIFE TABLE MALE'!D76/1000*F15*E15</f>
        <v>253.79513894693926</v>
      </c>
      <c r="K16">
        <f>0</f>
        <v>0</v>
      </c>
      <c r="L16" s="43">
        <f>DATA!$B$8*((1+DATA!$B$9)^A15)*F16*E16</f>
        <v>5.5025092172566552</v>
      </c>
      <c r="M16">
        <f>B15*EXP(RATES!O17)*(DATA!$B$12)</f>
        <v>1184.9442881054915</v>
      </c>
      <c r="N16">
        <f>C15*EXP(RATES!O17)*(DATA!$B$12)</f>
        <v>296.23607202637288</v>
      </c>
      <c r="O16">
        <f t="shared" si="3"/>
        <v>1481.1803601318643</v>
      </c>
      <c r="P16">
        <f t="shared" si="4"/>
        <v>126.00752643307075</v>
      </c>
      <c r="Q16">
        <f>RATES!G17</f>
        <v>0.70782386801134656</v>
      </c>
      <c r="R16" s="44">
        <f t="shared" si="5"/>
        <v>1938.3918206571077</v>
      </c>
      <c r="S16">
        <f t="shared" si="6"/>
        <v>1372.0399962190704</v>
      </c>
      <c r="T16">
        <f>C15*EXP(RATES!O17)*(DATA!$B$6-DATA!$B$12)</f>
        <v>169.27775544364161</v>
      </c>
      <c r="U16">
        <f>B15*EXP(RATES!O17)*(DATA!$B$6-DATA!$B$12)</f>
        <v>677.11102177456644</v>
      </c>
      <c r="V16">
        <f t="shared" si="7"/>
        <v>846.38877721820802</v>
      </c>
      <c r="W16">
        <f t="shared" si="8"/>
        <v>72.004300818897562</v>
      </c>
      <c r="X16">
        <f>W16*BASE!Q16</f>
        <v>50.966362719084643</v>
      </c>
    </row>
    <row r="17" spans="1:24" x14ac:dyDescent="0.3">
      <c r="A17" s="6">
        <v>15</v>
      </c>
      <c r="B17">
        <f>B16*EXP(RATES!O18)*(1-DATA!$B$6)</f>
        <v>82966.673538954565</v>
      </c>
      <c r="C17">
        <f>C16*EXP(RATES!O18)*(1-DATA!$B$6)</f>
        <v>20741.668384738641</v>
      </c>
      <c r="D17">
        <f t="shared" si="1"/>
        <v>103708.34192369321</v>
      </c>
      <c r="E17">
        <f>E16*(1-'LIFE TABLE MALE'!D77/1000)</f>
        <v>0.80629125769035137</v>
      </c>
      <c r="F17">
        <f t="shared" si="2"/>
        <v>8.7354219101251643E-2</v>
      </c>
      <c r="G17">
        <f t="shared" si="0"/>
        <v>103688.34192369321</v>
      </c>
      <c r="H17">
        <f>MAX(D17,DATA!$B$3)</f>
        <v>103708.34192369321</v>
      </c>
      <c r="I17">
        <f>G17*DATA!$B$7*F16*E17</f>
        <v>1288.7779580336889</v>
      </c>
      <c r="J17">
        <f>H17*'LIFE TABLE MALE'!D77/1000*F16*E16</f>
        <v>229.20433293161327</v>
      </c>
      <c r="K17">
        <f>0</f>
        <v>0</v>
      </c>
      <c r="L17" s="43">
        <f>DATA!$B$8*((1+DATA!$B$9)^A16)*F17*E17</f>
        <v>4.6467386375457433</v>
      </c>
      <c r="M17">
        <f>B16*EXP(RATES!O18)*(DATA!$B$12)</f>
        <v>1187.6619934001676</v>
      </c>
      <c r="N17">
        <f>C16*EXP(RATES!O18)*(DATA!$B$12)</f>
        <v>296.9154983500419</v>
      </c>
      <c r="O17">
        <f t="shared" si="3"/>
        <v>1484.5774917502094</v>
      </c>
      <c r="P17">
        <f t="shared" si="4"/>
        <v>104.5631621282523</v>
      </c>
      <c r="Q17">
        <f>RATES!G18</f>
        <v>0.6906676758678868</v>
      </c>
      <c r="R17" s="44">
        <f t="shared" si="5"/>
        <v>1627.1921917311001</v>
      </c>
      <c r="S17">
        <f t="shared" si="6"/>
        <v>1123.8490492532917</v>
      </c>
      <c r="T17">
        <f>C16*EXP(RATES!O18)*(DATA!$B$6-DATA!$B$12)</f>
        <v>169.66599905716677</v>
      </c>
      <c r="U17">
        <f>B16*EXP(RATES!O18)*(DATA!$B$6-DATA!$B$12)</f>
        <v>678.66399622866709</v>
      </c>
      <c r="V17">
        <f t="shared" si="7"/>
        <v>848.32999528583389</v>
      </c>
      <c r="W17">
        <f t="shared" si="8"/>
        <v>59.75037835900131</v>
      </c>
      <c r="X17">
        <f>W17*BASE!Q17</f>
        <v>41.267654953438317</v>
      </c>
    </row>
    <row r="18" spans="1:24" x14ac:dyDescent="0.3">
      <c r="A18" s="5">
        <v>16</v>
      </c>
      <c r="B18">
        <f>B17*EXP(RATES!O19)*(1-DATA!$B$6)</f>
        <v>83012.664280582845</v>
      </c>
      <c r="C18">
        <f>C17*EXP(RATES!O19)*(1-DATA!$B$6)</f>
        <v>20753.166070145711</v>
      </c>
      <c r="D18">
        <f t="shared" si="1"/>
        <v>103765.83035072856</v>
      </c>
      <c r="E18">
        <f>E17*(1-'LIFE TABLE MALE'!D78/1000)</f>
        <v>0.78272955654492149</v>
      </c>
      <c r="F18">
        <f t="shared" si="2"/>
        <v>7.4251086236063898E-2</v>
      </c>
      <c r="G18">
        <f t="shared" si="0"/>
        <v>103745.83035072856</v>
      </c>
      <c r="H18">
        <f>MAX(D18,DATA!$B$3)</f>
        <v>103765.83035072856</v>
      </c>
      <c r="I18">
        <f>G18*DATA!$B$7*F17*E18</f>
        <v>1064.0389580592437</v>
      </c>
      <c r="J18">
        <f>H18*'LIFE TABLE MALE'!D78/1000*F17*E17</f>
        <v>213.57228519113178</v>
      </c>
      <c r="K18">
        <f>0</f>
        <v>0</v>
      </c>
      <c r="L18" s="43">
        <f>DATA!$B$8*((1+DATA!$B$9)^A17)*F18*E18</f>
        <v>3.9109937836246558</v>
      </c>
      <c r="M18">
        <f>B17*EXP(RATES!O19)*(DATA!$B$12)</f>
        <v>1188.3203475748055</v>
      </c>
      <c r="N18">
        <f>C17*EXP(RATES!O19)*(DATA!$B$12)</f>
        <v>297.08008689370138</v>
      </c>
      <c r="O18">
        <f t="shared" si="3"/>
        <v>1485.4004344685068</v>
      </c>
      <c r="P18">
        <f t="shared" si="4"/>
        <v>86.329274565349067</v>
      </c>
      <c r="Q18">
        <f>RATES!G19</f>
        <v>0.67509876092267374</v>
      </c>
      <c r="R18" s="44">
        <f t="shared" si="5"/>
        <v>1367.8515115993491</v>
      </c>
      <c r="S18">
        <f t="shared" si="6"/>
        <v>923.43486060692692</v>
      </c>
      <c r="T18">
        <f>C17*EXP(RATES!O19)*(DATA!$B$6-DATA!$B$12)</f>
        <v>169.76004965354363</v>
      </c>
      <c r="U18">
        <f>B17*EXP(RATES!O19)*(DATA!$B$6-DATA!$B$12)</f>
        <v>679.04019861417453</v>
      </c>
      <c r="V18">
        <f t="shared" si="7"/>
        <v>848.80024826771819</v>
      </c>
      <c r="W18">
        <f t="shared" si="8"/>
        <v>49.331014037342328</v>
      </c>
      <c r="X18">
        <f>W18*BASE!Q18</f>
        <v>33.303306451668831</v>
      </c>
    </row>
    <row r="19" spans="1:24" x14ac:dyDescent="0.3">
      <c r="A19" s="5">
        <v>17</v>
      </c>
      <c r="B19">
        <f>B18*EXP(RATES!O20)*(1-DATA!$B$6)</f>
        <v>82929.076023361471</v>
      </c>
      <c r="C19">
        <f>C18*EXP(RATES!O20)*(1-DATA!$B$6)</f>
        <v>20732.269005840368</v>
      </c>
      <c r="D19">
        <f t="shared" si="1"/>
        <v>103661.34502920184</v>
      </c>
      <c r="E19">
        <f>E18*(1-'LIFE TABLE MALE'!D79/1000)</f>
        <v>0.75700168217713715</v>
      </c>
      <c r="F19">
        <f t="shared" si="2"/>
        <v>6.3113423300654309E-2</v>
      </c>
      <c r="G19">
        <f t="shared" si="0"/>
        <v>103641.34502920184</v>
      </c>
      <c r="H19">
        <f>MAX(D19,DATA!$B$3)</f>
        <v>103661.34502920184</v>
      </c>
      <c r="I19">
        <f>G19*DATA!$B$7*F18*E19</f>
        <v>873.82397367525232</v>
      </c>
      <c r="J19">
        <f>H19*'LIFE TABLE MALE'!D79/1000*F18*E18</f>
        <v>198.0266120581758</v>
      </c>
      <c r="K19">
        <f>0</f>
        <v>0</v>
      </c>
      <c r="L19" s="43">
        <f>DATA!$B$8*((1+DATA!$B$9)^A18)*F19*E19</f>
        <v>3.2793769081426625</v>
      </c>
      <c r="M19">
        <f>B18*EXP(RATES!O20)*(DATA!$B$12)</f>
        <v>1187.1237876554812</v>
      </c>
      <c r="N19">
        <f>C18*EXP(RATES!O20)*(DATA!$B$12)</f>
        <v>296.78094691387031</v>
      </c>
      <c r="O19">
        <f t="shared" si="3"/>
        <v>1483.9047345693516</v>
      </c>
      <c r="P19">
        <f t="shared" si="4"/>
        <v>70.896468434730593</v>
      </c>
      <c r="Q19">
        <f>RATES!G20</f>
        <v>0.66091208289531467</v>
      </c>
      <c r="R19" s="44">
        <f t="shared" si="5"/>
        <v>1146.0264310763014</v>
      </c>
      <c r="S19">
        <f t="shared" si="6"/>
        <v>757.42271561572215</v>
      </c>
      <c r="T19">
        <f>C18*EXP(RATES!O20)*(DATA!$B$6-DATA!$B$12)</f>
        <v>169.58911252221156</v>
      </c>
      <c r="U19">
        <f>B18*EXP(RATES!O20)*(DATA!$B$6-DATA!$B$12)</f>
        <v>678.35645008884626</v>
      </c>
      <c r="V19">
        <f t="shared" si="7"/>
        <v>847.94556261105777</v>
      </c>
      <c r="W19">
        <f t="shared" si="8"/>
        <v>40.512267676988898</v>
      </c>
      <c r="X19">
        <f>W19*BASE!Q19</f>
        <v>26.775047213211263</v>
      </c>
    </row>
    <row r="20" spans="1:24" x14ac:dyDescent="0.3">
      <c r="A20" s="5">
        <v>18</v>
      </c>
      <c r="B20">
        <f>B19*EXP(RATES!O21)*(1-DATA!$B$6)</f>
        <v>82813.18390319946</v>
      </c>
      <c r="C20">
        <f>C19*EXP(RATES!O21)*(1-DATA!$B$6)</f>
        <v>20703.295975799865</v>
      </c>
      <c r="D20">
        <f t="shared" si="1"/>
        <v>103516.47987899932</v>
      </c>
      <c r="E20">
        <f>E19*(1-'LIFE TABLE MALE'!D80/1000)</f>
        <v>0.72857800254523786</v>
      </c>
      <c r="F20">
        <f t="shared" si="2"/>
        <v>5.3646409805556163E-2</v>
      </c>
      <c r="G20">
        <f t="shared" si="0"/>
        <v>103496.47987899932</v>
      </c>
      <c r="H20">
        <f>MAX(D20,DATA!$B$3)</f>
        <v>103516.47987899932</v>
      </c>
      <c r="I20">
        <f>G20*DATA!$B$7*F19*E20</f>
        <v>713.862600584897</v>
      </c>
      <c r="J20">
        <f>H20*'LIFE TABLE MALE'!D80/1000*F19*E19</f>
        <v>185.69984098639321</v>
      </c>
      <c r="K20">
        <f>0</f>
        <v>0</v>
      </c>
      <c r="L20" s="43">
        <f>DATA!$B$8*((1+DATA!$B$9)^A19)*F20*E20</f>
        <v>2.7364633876180271</v>
      </c>
      <c r="M20">
        <f>B19*EXP(RATES!O21)*(DATA!$B$12)</f>
        <v>1185.464800250299</v>
      </c>
      <c r="N20">
        <f>C19*EXP(RATES!O21)*(DATA!$B$12)</f>
        <v>296.36620006257476</v>
      </c>
      <c r="O20">
        <f t="shared" si="3"/>
        <v>1481.8310003128738</v>
      </c>
      <c r="P20">
        <f t="shared" si="4"/>
        <v>57.918245002811645</v>
      </c>
      <c r="Q20">
        <f>RATES!G21</f>
        <v>0.64727657622441381</v>
      </c>
      <c r="R20" s="44">
        <f t="shared" si="5"/>
        <v>960.21714996171988</v>
      </c>
      <c r="S20">
        <f t="shared" si="6"/>
        <v>621.52606925918656</v>
      </c>
      <c r="T20">
        <f>C19*EXP(RATES!O21)*(DATA!$B$6-DATA!$B$12)</f>
        <v>169.35211432147125</v>
      </c>
      <c r="U20">
        <f>B19*EXP(RATES!O21)*(DATA!$B$6-DATA!$B$12)</f>
        <v>677.40845728588499</v>
      </c>
      <c r="V20">
        <f t="shared" si="7"/>
        <v>846.76057160735627</v>
      </c>
      <c r="W20">
        <f t="shared" si="8"/>
        <v>33.096140001606649</v>
      </c>
      <c r="X20">
        <f>W20*BASE!Q20</f>
        <v>21.422356186483817</v>
      </c>
    </row>
    <row r="21" spans="1:24" x14ac:dyDescent="0.3">
      <c r="A21" s="5">
        <v>19</v>
      </c>
      <c r="B21">
        <f>B20*EXP(RATES!O22)*(1-DATA!$B$6)</f>
        <v>82680.449851873433</v>
      </c>
      <c r="C21">
        <f>C20*EXP(RATES!O22)*(1-DATA!$B$6)</f>
        <v>20670.112462968358</v>
      </c>
      <c r="D21">
        <f t="shared" si="1"/>
        <v>103350.56231484179</v>
      </c>
      <c r="E21">
        <f>E20*(1-'LIFE TABLE MALE'!D81/1000)</f>
        <v>0.69834190615291014</v>
      </c>
      <c r="F21">
        <f t="shared" si="2"/>
        <v>4.5599448334722736E-2</v>
      </c>
      <c r="G21">
        <f t="shared" si="0"/>
        <v>103330.56231484179</v>
      </c>
      <c r="H21">
        <f>MAX(D21,DATA!$B$3)</f>
        <v>103350.56231484179</v>
      </c>
      <c r="I21">
        <f>G21*DATA!$B$7*F20*E21</f>
        <v>580.6692374463338</v>
      </c>
      <c r="J21">
        <f>H21*'LIFE TABLE MALE'!D81/1000*F20*E20</f>
        <v>167.64060826585248</v>
      </c>
      <c r="K21">
        <f>0</f>
        <v>0</v>
      </c>
      <c r="L21" s="43">
        <f>DATA!$B$8*((1+DATA!$B$9)^A20)*F21*E21</f>
        <v>2.274054080269575</v>
      </c>
      <c r="M21">
        <f>B20*EXP(RATES!O22)*(DATA!$B$12)</f>
        <v>1183.5647218059592</v>
      </c>
      <c r="N21">
        <f>C20*EXP(RATES!O22)*(DATA!$B$12)</f>
        <v>295.89118045148979</v>
      </c>
      <c r="O21">
        <f t="shared" si="3"/>
        <v>1479.455902257449</v>
      </c>
      <c r="P21">
        <f t="shared" si="4"/>
        <v>47.111802139396694</v>
      </c>
      <c r="Q21">
        <f>RATES!G22</f>
        <v>0.63405275958074025</v>
      </c>
      <c r="R21" s="44">
        <f t="shared" si="5"/>
        <v>797.69570193185257</v>
      </c>
      <c r="S21">
        <f t="shared" si="6"/>
        <v>505.78116111558677</v>
      </c>
      <c r="T21">
        <f>C20*EXP(RATES!O22)*(DATA!$B$6-DATA!$B$12)</f>
        <v>169.08067454370843</v>
      </c>
      <c r="U21">
        <f>B20*EXP(RATES!O22)*(DATA!$B$6-DATA!$B$12)</f>
        <v>676.3226981748337</v>
      </c>
      <c r="V21">
        <f t="shared" si="7"/>
        <v>845.40337271854219</v>
      </c>
      <c r="W21">
        <f t="shared" si="8"/>
        <v>26.921029793940967</v>
      </c>
      <c r="X21">
        <f>W21*BASE!Q21</f>
        <v>17.069353231603596</v>
      </c>
    </row>
    <row r="22" spans="1:24" x14ac:dyDescent="0.3">
      <c r="A22" s="6">
        <v>20</v>
      </c>
      <c r="B22">
        <f>B21*EXP(RATES!O23)*(1-DATA!$B$6)</f>
        <v>82630.136364810009</v>
      </c>
      <c r="C22">
        <f>C21*EXP(RATES!O23)*(1-DATA!$B$6)</f>
        <v>20657.534091202502</v>
      </c>
      <c r="D22">
        <f t="shared" si="1"/>
        <v>103287.67045601251</v>
      </c>
      <c r="E22">
        <f>E21*(1-'LIFE TABLE MALE'!D82/1000)</f>
        <v>0.66548978691150162</v>
      </c>
      <c r="F22">
        <f t="shared" si="2"/>
        <v>3.8759531084514326E-2</v>
      </c>
      <c r="G22">
        <f t="shared" si="0"/>
        <v>103267.67045601251</v>
      </c>
      <c r="H22">
        <f>MAX(D22,DATA!$B$3)</f>
        <v>103287.67045601251</v>
      </c>
      <c r="I22">
        <f>G22*DATA!$B$7*F21*E22</f>
        <v>470.06360038335072</v>
      </c>
      <c r="J22">
        <f>H22*'LIFE TABLE MALE'!D82/1000*F21*E21</f>
        <v>154.72890836803691</v>
      </c>
      <c r="K22">
        <f>0</f>
        <v>0</v>
      </c>
      <c r="L22" s="43">
        <f>DATA!$B$8*((1+DATA!$B$9)^A21)*F22*E22</f>
        <v>1.8788546197185032</v>
      </c>
      <c r="M22">
        <f>B21*EXP(RATES!O23)*(DATA!$B$12)</f>
        <v>1182.8444878398161</v>
      </c>
      <c r="N22">
        <f>C21*EXP(RATES!O23)*(DATA!$B$12)</f>
        <v>295.71112195995403</v>
      </c>
      <c r="O22">
        <f t="shared" si="3"/>
        <v>1478.5556097997701</v>
      </c>
      <c r="P22">
        <f t="shared" si="4"/>
        <v>38.137969976750696</v>
      </c>
      <c r="Q22">
        <f>RATES!G23</f>
        <v>0.62048117992903407</v>
      </c>
      <c r="R22" s="44">
        <f t="shared" si="5"/>
        <v>664.80933334785686</v>
      </c>
      <c r="S22">
        <f t="shared" si="6"/>
        <v>412.50167958351278</v>
      </c>
      <c r="T22">
        <f>C21*EXP(RATES!O23)*(DATA!$B$6-DATA!$B$12)</f>
        <v>168.97778397711653</v>
      </c>
      <c r="U22">
        <f>B21*EXP(RATES!O23)*(DATA!$B$6-DATA!$B$12)</f>
        <v>675.91113590846612</v>
      </c>
      <c r="V22">
        <f t="shared" si="7"/>
        <v>844.88891988558271</v>
      </c>
      <c r="W22">
        <f t="shared" si="8"/>
        <v>21.793125701000392</v>
      </c>
      <c r="X22">
        <f>W22*BASE!Q22</f>
        <v>13.522224349298481</v>
      </c>
    </row>
    <row r="23" spans="1:24" x14ac:dyDescent="0.3">
      <c r="A23" s="5">
        <v>21</v>
      </c>
      <c r="B23">
        <f>B22*EXP(RATES!O24)*(1-DATA!$B$6)</f>
        <v>82662.12593342422</v>
      </c>
      <c r="C23">
        <f>C22*EXP(RATES!O24)*(1-DATA!$B$6)</f>
        <v>20665.531483356055</v>
      </c>
      <c r="D23">
        <f t="shared" si="1"/>
        <v>103327.65741678028</v>
      </c>
      <c r="E23">
        <f>E22*(1-'LIFE TABLE MALE'!D83/1000)</f>
        <v>0.63037147159761586</v>
      </c>
      <c r="F23">
        <f t="shared" si="2"/>
        <v>3.2945601421837174E-2</v>
      </c>
      <c r="G23">
        <f t="shared" si="0"/>
        <v>103307.65741678028</v>
      </c>
      <c r="H23">
        <f>MAX(D23,DATA!$B$3)</f>
        <v>103327.65741678028</v>
      </c>
      <c r="I23">
        <f>G23*DATA!$B$7*F22*E23</f>
        <v>378.61589047134038</v>
      </c>
      <c r="J23">
        <f>H23*'LIFE TABLE MALE'!D83/1000*F22*E22</f>
        <v>140.64644896712502</v>
      </c>
      <c r="K23">
        <f>0</f>
        <v>0</v>
      </c>
      <c r="L23" s="43">
        <f>DATA!$B$8*((1+DATA!$B$9)^A22)*F23*E23</f>
        <v>1.5430053428157937</v>
      </c>
      <c r="M23">
        <f>B22*EXP(RATES!O24)*(DATA!$B$12)</f>
        <v>1183.3024162248867</v>
      </c>
      <c r="N23">
        <f>C22*EXP(RATES!O24)*(DATA!$B$12)</f>
        <v>295.82560405622166</v>
      </c>
      <c r="O23">
        <f t="shared" si="3"/>
        <v>1479.1280202811083</v>
      </c>
      <c r="P23">
        <f t="shared" si="4"/>
        <v>30.718482285163532</v>
      </c>
      <c r="Q23">
        <f>RATES!G24</f>
        <v>0.60659575547952316</v>
      </c>
      <c r="R23" s="44">
        <f t="shared" si="5"/>
        <v>551.52382706644471</v>
      </c>
      <c r="S23">
        <f t="shared" si="6"/>
        <v>334.55201254432791</v>
      </c>
      <c r="T23">
        <f>C22*EXP(RATES!O24)*(DATA!$B$6-DATA!$B$12)</f>
        <v>169.04320231784092</v>
      </c>
      <c r="U23">
        <f>B22*EXP(RATES!O24)*(DATA!$B$6-DATA!$B$12)</f>
        <v>676.17280927136369</v>
      </c>
      <c r="V23">
        <f t="shared" si="7"/>
        <v>845.21601158920464</v>
      </c>
      <c r="W23">
        <f t="shared" si="8"/>
        <v>17.553418448664875</v>
      </c>
      <c r="X23">
        <f>W23*BASE!Q23</f>
        <v>10.647829125116068</v>
      </c>
    </row>
    <row r="24" spans="1:24" x14ac:dyDescent="0.3">
      <c r="A24" s="5">
        <v>22</v>
      </c>
      <c r="B24">
        <f>B23*EXP(RATES!O25)*(1-DATA!$B$6)</f>
        <v>82791.080503122896</v>
      </c>
      <c r="C24">
        <f>C23*EXP(RATES!O25)*(1-DATA!$B$6)</f>
        <v>20697.770125780724</v>
      </c>
      <c r="D24">
        <f t="shared" si="1"/>
        <v>103488.85062890362</v>
      </c>
      <c r="E24">
        <f>E23*(1-'LIFE TABLE MALE'!D84/1000)</f>
        <v>0.59321032950859998</v>
      </c>
      <c r="F24">
        <f t="shared" si="2"/>
        <v>2.8003761208561597E-2</v>
      </c>
      <c r="G24">
        <f t="shared" si="0"/>
        <v>103468.85062890362</v>
      </c>
      <c r="H24">
        <f>MAX(D24,DATA!$B$3)</f>
        <v>103488.85062890362</v>
      </c>
      <c r="I24">
        <f>G24*DATA!$B$7*F23*E24</f>
        <v>303.32417748470505</v>
      </c>
      <c r="J24">
        <f>H24*'LIFE TABLE MALE'!D84/1000*F23*E23</f>
        <v>126.70100404686094</v>
      </c>
      <c r="K24">
        <f>0</f>
        <v>0</v>
      </c>
      <c r="L24" s="43">
        <f>DATA!$B$8*((1+DATA!$B$9)^A23)*F24*E24</f>
        <v>1.2589215906148017</v>
      </c>
      <c r="M24">
        <f>B23*EXP(RATES!O25)*(DATA!$B$12)</f>
        <v>1185.148391660246</v>
      </c>
      <c r="N24">
        <f>C23*EXP(RATES!O25)*(DATA!$B$12)</f>
        <v>296.28709791506151</v>
      </c>
      <c r="O24">
        <f t="shared" si="3"/>
        <v>1481.4354895753077</v>
      </c>
      <c r="P24">
        <f t="shared" si="4"/>
        <v>24.609784738414312</v>
      </c>
      <c r="Q24">
        <f>RATES!G25</f>
        <v>0.59232660750473398</v>
      </c>
      <c r="R24" s="44">
        <f t="shared" si="5"/>
        <v>455.8938878605951</v>
      </c>
      <c r="S24">
        <f t="shared" si="6"/>
        <v>270.03807997860991</v>
      </c>
      <c r="T24">
        <f>C23*EXP(RATES!O25)*(DATA!$B$6-DATA!$B$12)</f>
        <v>169.30691309432083</v>
      </c>
      <c r="U24">
        <f>B23*EXP(RATES!O25)*(DATA!$B$6-DATA!$B$12)</f>
        <v>677.22765237728333</v>
      </c>
      <c r="V24">
        <f t="shared" si="7"/>
        <v>846.5345654716042</v>
      </c>
      <c r="W24">
        <f t="shared" si="8"/>
        <v>14.062734136236747</v>
      </c>
      <c r="X24">
        <f>W24*BASE!Q24</f>
        <v>8.3297316031581286</v>
      </c>
    </row>
    <row r="25" spans="1:24" x14ac:dyDescent="0.3">
      <c r="A25" s="5">
        <v>23</v>
      </c>
      <c r="B25">
        <f>B24*EXP(RATES!O26)*(1-DATA!$B$6)</f>
        <v>82994.7603613877</v>
      </c>
      <c r="C25">
        <f>C24*EXP(RATES!O26)*(1-DATA!$B$6)</f>
        <v>20748.690090346925</v>
      </c>
      <c r="D25">
        <f t="shared" si="1"/>
        <v>103743.45045173462</v>
      </c>
      <c r="E25">
        <f>E24*(1-'LIFE TABLE MALE'!D85/1000)</f>
        <v>0.55421480613968421</v>
      </c>
      <c r="F25">
        <f t="shared" si="2"/>
        <v>2.3803197027277356E-2</v>
      </c>
      <c r="G25">
        <f t="shared" si="0"/>
        <v>103723.45045173462</v>
      </c>
      <c r="H25">
        <f>MAX(D25,DATA!$B$3)</f>
        <v>103743.45045173462</v>
      </c>
      <c r="I25">
        <f>G25*DATA!$B$7*F24*E25</f>
        <v>241.46973433557508</v>
      </c>
      <c r="J25">
        <f>H25*'LIFE TABLE MALE'!D85/1000*F24*E24</f>
        <v>113.29006018357497</v>
      </c>
      <c r="K25">
        <f>0</f>
        <v>0</v>
      </c>
      <c r="L25" s="43">
        <f>DATA!$B$8*((1+DATA!$B$9)^A24)*F25*E25</f>
        <v>1.0197347014261977</v>
      </c>
      <c r="M25">
        <f>B24*EXP(RATES!O26)*(DATA!$B$12)</f>
        <v>1188.0640542529939</v>
      </c>
      <c r="N25">
        <f>C24*EXP(RATES!O26)*(DATA!$B$12)</f>
        <v>297.01601356324846</v>
      </c>
      <c r="O25">
        <f t="shared" si="3"/>
        <v>1485.0800678162423</v>
      </c>
      <c r="P25">
        <f t="shared" si="4"/>
        <v>19.59130133695184</v>
      </c>
      <c r="Q25">
        <f>RATES!G26</f>
        <v>0.57787375637469385</v>
      </c>
      <c r="R25" s="44">
        <f t="shared" si="5"/>
        <v>375.37083055752805</v>
      </c>
      <c r="S25">
        <f t="shared" si="6"/>
        <v>216.91695188776745</v>
      </c>
      <c r="T25">
        <f>C24*EXP(RATES!O26)*(DATA!$B$6-DATA!$B$12)</f>
        <v>169.72343632185621</v>
      </c>
      <c r="U25">
        <f>B24*EXP(RATES!O26)*(DATA!$B$6-DATA!$B$12)</f>
        <v>678.89374528742485</v>
      </c>
      <c r="V25">
        <f t="shared" si="7"/>
        <v>848.61718160928103</v>
      </c>
      <c r="W25">
        <f t="shared" si="8"/>
        <v>11.195029335401049</v>
      </c>
      <c r="X25">
        <f>W25*BASE!Q25</f>
        <v>6.4693136547730967</v>
      </c>
    </row>
    <row r="26" spans="1:24" x14ac:dyDescent="0.3">
      <c r="A26" s="5">
        <v>24</v>
      </c>
      <c r="B26">
        <f>B25*EXP(RATES!O27)*(1-DATA!$B$6)</f>
        <v>83283.464922455751</v>
      </c>
      <c r="C26">
        <f>C25*EXP(RATES!O27)*(1-DATA!$B$6)</f>
        <v>20820.866230613938</v>
      </c>
      <c r="D26">
        <f t="shared" si="1"/>
        <v>104104.33115306968</v>
      </c>
      <c r="E26">
        <f>E25*(1-'LIFE TABLE MALE'!D86/1000)</f>
        <v>0.51420915397167088</v>
      </c>
      <c r="F26">
        <f t="shared" si="2"/>
        <v>2.0232717473185752E-2</v>
      </c>
      <c r="G26">
        <f t="shared" si="0"/>
        <v>104084.33115306968</v>
      </c>
      <c r="H26">
        <f>MAX(D26,DATA!$B$3)</f>
        <v>104104.33115306968</v>
      </c>
      <c r="I26">
        <f>G26*DATA!$B$7*F25*E26</f>
        <v>191.09604990431976</v>
      </c>
      <c r="J26">
        <f>H26*'LIFE TABLE MALE'!D86/1000*F25*E25</f>
        <v>99.134642395417217</v>
      </c>
      <c r="K26">
        <f>0</f>
        <v>0</v>
      </c>
      <c r="L26" s="43">
        <f>DATA!$B$8*((1+DATA!$B$9)^A25)*F26*E26</f>
        <v>0.8202910549354403</v>
      </c>
      <c r="M26">
        <f>B25*EXP(RATES!O27)*(DATA!$B$12)</f>
        <v>1192.1968393807574</v>
      </c>
      <c r="N26">
        <f>C25*EXP(RATES!O27)*(DATA!$B$12)</f>
        <v>298.04920984518935</v>
      </c>
      <c r="O26">
        <f t="shared" si="3"/>
        <v>1490.2460492259468</v>
      </c>
      <c r="P26">
        <f t="shared" si="4"/>
        <v>15.50429417518645</v>
      </c>
      <c r="Q26">
        <f>RATES!G27</f>
        <v>0.56320138825489208</v>
      </c>
      <c r="R26" s="44">
        <f t="shared" si="5"/>
        <v>306.55527752985887</v>
      </c>
      <c r="S26">
        <f t="shared" si="6"/>
        <v>172.65235788168025</v>
      </c>
      <c r="T26">
        <f>C25*EXP(RATES!O27)*(DATA!$B$6-DATA!$B$12)</f>
        <v>170.313834197251</v>
      </c>
      <c r="U26">
        <f>B25*EXP(RATES!O27)*(DATA!$B$6-DATA!$B$12)</f>
        <v>681.25533678900399</v>
      </c>
      <c r="V26">
        <f t="shared" si="7"/>
        <v>851.56917098625502</v>
      </c>
      <c r="W26">
        <f t="shared" si="8"/>
        <v>8.8595966715351118</v>
      </c>
      <c r="X26">
        <f>W26*BASE!Q26</f>
        <v>4.9897371447869956</v>
      </c>
    </row>
    <row r="27" spans="1:24" x14ac:dyDescent="0.3">
      <c r="A27" s="6">
        <v>25</v>
      </c>
      <c r="B27">
        <f>B26*EXP(RATES!O28)*(1-DATA!$B$6)</f>
        <v>83627.029768984285</v>
      </c>
      <c r="C27">
        <f>C26*EXP(RATES!O28)*(1-DATA!$B$6)</f>
        <v>20906.757442246071</v>
      </c>
      <c r="D27">
        <f t="shared" si="1"/>
        <v>104533.78721123036</v>
      </c>
      <c r="E27">
        <f>E26*(1-'LIFE TABLE MALE'!D87/1000)</f>
        <v>0.47242590134255708</v>
      </c>
      <c r="F27">
        <f t="shared" si="2"/>
        <v>1.7197809852207889E-2</v>
      </c>
      <c r="G27">
        <f t="shared" si="0"/>
        <v>104513.78721123036</v>
      </c>
      <c r="H27">
        <f>MAX(D27,DATA!$B$3)</f>
        <v>104533.78721123036</v>
      </c>
      <c r="I27">
        <f>G27*DATA!$B$7*F26*E27</f>
        <v>149.84862486630152</v>
      </c>
      <c r="J27">
        <f>H27*'LIFE TABLE MALE'!D87/1000*F26*E26</f>
        <v>88.371687238678589</v>
      </c>
      <c r="K27">
        <f>0</f>
        <v>0</v>
      </c>
      <c r="L27" s="43">
        <f>DATA!$B$8*((1+DATA!$B$9)^A26)*F27*E27</f>
        <v>0.653402767811879</v>
      </c>
      <c r="M27">
        <f>B26*EXP(RATES!O28)*(DATA!$B$12)</f>
        <v>1197.1149455682821</v>
      </c>
      <c r="N27">
        <f>C26*EXP(RATES!O28)*(DATA!$B$12)</f>
        <v>299.27873639207053</v>
      </c>
      <c r="O27">
        <f t="shared" si="3"/>
        <v>1496.3936819603528</v>
      </c>
      <c r="P27">
        <f t="shared" si="4"/>
        <v>12.157736011748135</v>
      </c>
      <c r="Q27">
        <f>RATES!G28</f>
        <v>0.54854806158178537</v>
      </c>
      <c r="R27" s="44">
        <f t="shared" si="5"/>
        <v>251.03145088454011</v>
      </c>
      <c r="S27">
        <f t="shared" si="6"/>
        <v>137.70281577877765</v>
      </c>
      <c r="T27">
        <f>C26*EXP(RATES!O28)*(DATA!$B$6-DATA!$B$12)</f>
        <v>171.01642079546883</v>
      </c>
      <c r="U27">
        <f>B26*EXP(RATES!O28)*(DATA!$B$6-DATA!$B$12)</f>
        <v>684.06568318187533</v>
      </c>
      <c r="V27">
        <f t="shared" si="7"/>
        <v>855.0821039773441</v>
      </c>
      <c r="W27">
        <f t="shared" si="8"/>
        <v>6.9472777209989314</v>
      </c>
      <c r="X27">
        <f>W27*BASE!Q27</f>
        <v>3.8109157271242875</v>
      </c>
    </row>
    <row r="28" spans="1:24" x14ac:dyDescent="0.3">
      <c r="A28" s="5">
        <v>26</v>
      </c>
      <c r="B28">
        <f>B27*EXP(RATES!O29)*(1-DATA!$B$6)</f>
        <v>84031.033003797333</v>
      </c>
      <c r="C28">
        <f>C27*EXP(RATES!O29)*(1-DATA!$B$6)</f>
        <v>21007.758250949333</v>
      </c>
      <c r="D28">
        <f t="shared" si="1"/>
        <v>105038.79125474667</v>
      </c>
      <c r="E28">
        <f>E27*(1-'LIFE TABLE MALE'!D88/1000)</f>
        <v>0.42866056426106119</v>
      </c>
      <c r="F28">
        <f t="shared" si="2"/>
        <v>1.4618138374376706E-2</v>
      </c>
      <c r="G28">
        <f t="shared" si="0"/>
        <v>105018.79125474667</v>
      </c>
      <c r="H28">
        <f>MAX(D28,DATA!$B$3)</f>
        <v>105038.79125474667</v>
      </c>
      <c r="I28">
        <f>G28*DATA!$B$7*F27*E28</f>
        <v>116.13013971998167</v>
      </c>
      <c r="J28">
        <f>H28*'LIFE TABLE MALE'!D88/1000*F27*E27</f>
        <v>79.059331184765412</v>
      </c>
      <c r="K28">
        <f>0</f>
        <v>0</v>
      </c>
      <c r="L28" s="43">
        <f>DATA!$B$8*((1+DATA!$B$9)^A27)*F28*E28</f>
        <v>0.51401985912343284</v>
      </c>
      <c r="M28">
        <f>B27*EXP(RATES!O29)*(DATA!$B$12)</f>
        <v>1202.8982229582439</v>
      </c>
      <c r="N28">
        <f>C27*EXP(RATES!O29)*(DATA!$B$12)</f>
        <v>300.72455573956097</v>
      </c>
      <c r="O28">
        <f t="shared" si="3"/>
        <v>1503.6227786978047</v>
      </c>
      <c r="P28">
        <f t="shared" si="4"/>
        <v>9.4220302923274026</v>
      </c>
      <c r="Q28">
        <f>RATES!G29</f>
        <v>0.53390072310461278</v>
      </c>
      <c r="R28" s="44">
        <f t="shared" si="5"/>
        <v>205.1255210561979</v>
      </c>
      <c r="S28">
        <f t="shared" si="6"/>
        <v>109.51666401911453</v>
      </c>
      <c r="T28">
        <f>C27*EXP(RATES!O29)*(DATA!$B$6-DATA!$B$12)</f>
        <v>171.84260327974911</v>
      </c>
      <c r="U28">
        <f>B27*EXP(RATES!O29)*(DATA!$B$6-DATA!$B$12)</f>
        <v>687.37041311899645</v>
      </c>
      <c r="V28">
        <f t="shared" si="7"/>
        <v>859.21301639874559</v>
      </c>
      <c r="W28">
        <f t="shared" si="8"/>
        <v>5.3840173099013731</v>
      </c>
      <c r="X28">
        <f>W28*BASE!Q28</f>
        <v>2.8745307349640954</v>
      </c>
    </row>
    <row r="29" spans="1:24" x14ac:dyDescent="0.3">
      <c r="A29" s="5">
        <v>27</v>
      </c>
      <c r="B29">
        <f>B28*EXP(RATES!O30)*(1-DATA!$B$6)</f>
        <v>84501.26690690004</v>
      </c>
      <c r="C29">
        <f>C28*EXP(RATES!O30)*(1-DATA!$B$6)</f>
        <v>21125.31672672501</v>
      </c>
      <c r="D29">
        <f t="shared" si="1"/>
        <v>105626.58363362505</v>
      </c>
      <c r="E29">
        <f>E28*(1-'LIFE TABLE MALE'!D89/1000)</f>
        <v>0.38279328376033767</v>
      </c>
      <c r="F29">
        <f t="shared" si="2"/>
        <v>1.24254176182202E-2</v>
      </c>
      <c r="G29">
        <f t="shared" si="0"/>
        <v>105606.58363362505</v>
      </c>
      <c r="H29">
        <f>MAX(D29,DATA!$B$3)</f>
        <v>105626.58363362505</v>
      </c>
      <c r="I29">
        <f>G29*DATA!$B$7*F28*E29</f>
        <v>88.641813052802505</v>
      </c>
      <c r="J29">
        <f>H29*'LIFE TABLE MALE'!D89/1000*F28*E28</f>
        <v>70.822017313177071</v>
      </c>
      <c r="K29">
        <f>0</f>
        <v>0</v>
      </c>
      <c r="L29" s="43">
        <f>DATA!$B$8*((1+DATA!$B$9)^A28)*F29*E29</f>
        <v>0.39796948563168955</v>
      </c>
      <c r="M29">
        <f>B28*EXP(RATES!O30)*(DATA!$B$12)</f>
        <v>1209.629587624336</v>
      </c>
      <c r="N29">
        <f>C28*EXP(RATES!O30)*(DATA!$B$12)</f>
        <v>302.40739690608399</v>
      </c>
      <c r="O29">
        <f t="shared" si="3"/>
        <v>1512.0369845304199</v>
      </c>
      <c r="P29">
        <f t="shared" si="4"/>
        <v>7.1918019271824205</v>
      </c>
      <c r="Q29">
        <f>RATES!G30</f>
        <v>0.51924921182601969</v>
      </c>
      <c r="R29" s="44">
        <f t="shared" si="5"/>
        <v>167.05360177879368</v>
      </c>
      <c r="S29">
        <f t="shared" si="6"/>
        <v>86.742451056336378</v>
      </c>
      <c r="T29">
        <f>C28*EXP(RATES!O30)*(DATA!$B$6-DATA!$B$12)</f>
        <v>172.80422680347655</v>
      </c>
      <c r="U29">
        <f>B28*EXP(RATES!O30)*(DATA!$B$6-DATA!$B$12)</f>
        <v>691.21690721390621</v>
      </c>
      <c r="V29">
        <f t="shared" si="7"/>
        <v>864.02113401738279</v>
      </c>
      <c r="W29">
        <f t="shared" si="8"/>
        <v>4.1096011012470974</v>
      </c>
      <c r="X29">
        <f>W29*BASE!Q29</f>
        <v>2.1339071327418977</v>
      </c>
    </row>
    <row r="30" spans="1:24" x14ac:dyDescent="0.3">
      <c r="A30" s="5">
        <v>28</v>
      </c>
      <c r="B30">
        <f>B29*EXP(RATES!O31)*(1-DATA!$B$6)</f>
        <v>85020.543140026202</v>
      </c>
      <c r="C30">
        <f>C29*EXP(RATES!O31)*(1-DATA!$B$6)</f>
        <v>21255.135785006551</v>
      </c>
      <c r="D30">
        <f t="shared" si="1"/>
        <v>106275.67892503276</v>
      </c>
      <c r="E30">
        <f>E29*(1-'LIFE TABLE MALE'!D90/1000)</f>
        <v>0.33599119307109643</v>
      </c>
      <c r="F30">
        <f t="shared" si="2"/>
        <v>1.0561604975487169E-2</v>
      </c>
      <c r="G30">
        <f t="shared" si="0"/>
        <v>106255.67892503276</v>
      </c>
      <c r="H30">
        <f>MAX(D30,DATA!$B$3)</f>
        <v>106275.67892503276</v>
      </c>
      <c r="I30">
        <f>G30*DATA!$B$7*F29*E30</f>
        <v>66.539923591364058</v>
      </c>
      <c r="J30">
        <f>H30*'LIFE TABLE MALE'!D90/1000*F29*E29</f>
        <v>61.803082442915425</v>
      </c>
      <c r="K30">
        <f>0</f>
        <v>0</v>
      </c>
      <c r="L30" s="43">
        <f>DATA!$B$8*((1+DATA!$B$9)^A29)*F30*E30</f>
        <v>0.30285340150374207</v>
      </c>
      <c r="M30">
        <f>B29*EXP(RATES!O31)*(DATA!$B$12)</f>
        <v>1217.0629897345264</v>
      </c>
      <c r="N30">
        <f>C29*EXP(RATES!O31)*(DATA!$B$12)</f>
        <v>304.26574743363159</v>
      </c>
      <c r="O30">
        <f t="shared" si="3"/>
        <v>1521.3287371681579</v>
      </c>
      <c r="P30">
        <f t="shared" si="4"/>
        <v>5.3985966748466501</v>
      </c>
      <c r="Q30">
        <f>RATES!G31</f>
        <v>0.50472410428806358</v>
      </c>
      <c r="R30" s="44">
        <f t="shared" si="5"/>
        <v>134.04445611062988</v>
      </c>
      <c r="S30">
        <f t="shared" si="6"/>
        <v>67.655468045218313</v>
      </c>
      <c r="T30">
        <f>C29*EXP(RATES!O31)*(DATA!$B$6-DATA!$B$12)</f>
        <v>173.86614139064659</v>
      </c>
      <c r="U30">
        <f>B29*EXP(RATES!O31)*(DATA!$B$6-DATA!$B$12)</f>
        <v>695.46456556258636</v>
      </c>
      <c r="V30">
        <f t="shared" si="7"/>
        <v>869.33070695323295</v>
      </c>
      <c r="W30">
        <f t="shared" si="8"/>
        <v>3.084912385626656</v>
      </c>
      <c r="X30">
        <f>W30*BASE!Q30</f>
        <v>1.5570296406425674</v>
      </c>
    </row>
    <row r="31" spans="1:24" x14ac:dyDescent="0.3">
      <c r="A31" s="5">
        <v>29</v>
      </c>
      <c r="B31">
        <f>B30*EXP(RATES!O32)*(1-DATA!$B$6)</f>
        <v>85568.006571671765</v>
      </c>
      <c r="C31">
        <f>C30*EXP(RATES!O32)*(1-DATA!$B$6)</f>
        <v>21392.001642917941</v>
      </c>
      <c r="D31">
        <f t="shared" si="1"/>
        <v>106960.0082145897</v>
      </c>
      <c r="E31">
        <f>E30*(1-'LIFE TABLE MALE'!D91/1000)</f>
        <v>0.28899294993893926</v>
      </c>
      <c r="F31">
        <f t="shared" si="2"/>
        <v>8.9773642291640938E-3</v>
      </c>
      <c r="G31">
        <f t="shared" si="0"/>
        <v>106940.0082145897</v>
      </c>
      <c r="H31">
        <f>MAX(D31,DATA!$B$3)</f>
        <v>106960.0082145897</v>
      </c>
      <c r="I31">
        <f>G31*DATA!$B$7*F30*E31</f>
        <v>48.960815212711033</v>
      </c>
      <c r="J31">
        <f>H31*'LIFE TABLE MALE'!D91/1000*F30*E30</f>
        <v>53.092475002293185</v>
      </c>
      <c r="K31">
        <f>0</f>
        <v>0</v>
      </c>
      <c r="L31" s="43">
        <f>DATA!$B$8*((1+DATA!$B$9)^A30)*F31*E31</f>
        <v>0.22584522226719111</v>
      </c>
      <c r="M31">
        <f>B30*EXP(RATES!O32)*(DATA!$B$12)</f>
        <v>1224.8998895740335</v>
      </c>
      <c r="N31">
        <f>C30*EXP(RATES!O32)*(DATA!$B$12)</f>
        <v>306.22497239350838</v>
      </c>
      <c r="O31">
        <f t="shared" si="3"/>
        <v>1531.1248619675418</v>
      </c>
      <c r="P31">
        <f t="shared" si="4"/>
        <v>3.9723426422634929</v>
      </c>
      <c r="Q31">
        <f>RATES!G32</f>
        <v>0.49046199601095725</v>
      </c>
      <c r="R31" s="45">
        <f t="shared" si="5"/>
        <v>106.25147807953491</v>
      </c>
      <c r="S31">
        <f t="shared" si="6"/>
        <v>52.112312018003159</v>
      </c>
      <c r="T31">
        <f>C30*EXP(RATES!O32)*(DATA!$B$6-DATA!$B$12)</f>
        <v>174.98569851057619</v>
      </c>
      <c r="U31">
        <f>B30*EXP(RATES!O32)*(DATA!$B$6-DATA!$B$12)</f>
        <v>699.94279404230474</v>
      </c>
      <c r="V31">
        <f t="shared" si="7"/>
        <v>874.92849255288093</v>
      </c>
      <c r="W31">
        <f t="shared" si="8"/>
        <v>2.2699100812934243</v>
      </c>
      <c r="X31">
        <f>W31*BASE!Q31</f>
        <v>1.1133046292365671</v>
      </c>
    </row>
    <row r="32" spans="1:24" x14ac:dyDescent="0.3">
      <c r="A32" s="6">
        <v>30</v>
      </c>
      <c r="B32">
        <f>B31*EXP(RATES!O33)*(1-DATA!$B$6)</f>
        <v>86144.154157072146</v>
      </c>
      <c r="C32">
        <f>C31*EXP(RATES!O33)*(1-DATA!$B$6)</f>
        <v>21536.038539268036</v>
      </c>
      <c r="D32">
        <f t="shared" si="1"/>
        <v>107680.19269634018</v>
      </c>
      <c r="E32">
        <f>E31*(1-'LIFE TABLE MALE'!D92/1000)</f>
        <v>0.24274450939213651</v>
      </c>
      <c r="F32">
        <f t="shared" si="2"/>
        <v>7.6307595947894798E-3</v>
      </c>
      <c r="G32">
        <f t="shared" si="0"/>
        <v>107660.19269634018</v>
      </c>
      <c r="H32">
        <f>MAX(D32,DATA!$B$3)</f>
        <v>107680.19269634018</v>
      </c>
      <c r="I32">
        <f>G32*DATA!$B$7*F31*E32</f>
        <v>35.192058671277763</v>
      </c>
      <c r="J32">
        <f>H32*'LIFE TABLE MALE'!D92/1000*F31*E31</f>
        <v>44.707641843261861</v>
      </c>
      <c r="K32">
        <f>0</f>
        <v>0</v>
      </c>
      <c r="L32" s="43">
        <f>DATA!$B$8*((1+DATA!$B$9)^A31)*F32*E32</f>
        <v>0.16447207527623681</v>
      </c>
      <c r="M32">
        <f>B31*EXP(RATES!O33)*(DATA!$B$12)</f>
        <v>1233.1474010214827</v>
      </c>
      <c r="N32">
        <f>C31*EXP(RATES!O33)*(DATA!$B$12)</f>
        <v>308.28685025537067</v>
      </c>
      <c r="O32">
        <f t="shared" si="3"/>
        <v>1541.4342512768533</v>
      </c>
      <c r="P32">
        <f t="shared" si="4"/>
        <v>2.8552371904428</v>
      </c>
      <c r="Q32">
        <f>RATES!G33</f>
        <v>0.47646370067584165</v>
      </c>
      <c r="R32" s="45">
        <f t="shared" si="5"/>
        <v>82.919409780258661</v>
      </c>
      <c r="S32">
        <f t="shared" si="6"/>
        <v>39.508088841758621</v>
      </c>
      <c r="T32">
        <f>C31*EXP(RATES!O33)*(DATA!$B$6-DATA!$B$12)</f>
        <v>176.16391443164034</v>
      </c>
      <c r="U32">
        <f>B31*EXP(RATES!O33)*(DATA!$B$6-DATA!$B$12)</f>
        <v>704.65565772656134</v>
      </c>
      <c r="V32">
        <f t="shared" si="7"/>
        <v>880.81957215820171</v>
      </c>
      <c r="W32">
        <f t="shared" si="8"/>
        <v>1.6315641088244566</v>
      </c>
      <c r="X32">
        <f>W32*BASE!Q32</f>
        <v>0.77738107318038219</v>
      </c>
    </row>
    <row r="33" spans="1:24" x14ac:dyDescent="0.3">
      <c r="A33" s="5">
        <v>31</v>
      </c>
      <c r="B33">
        <f>B32*EXP(RATES!O34)*(1-DATA!$B$6)</f>
        <v>86775.747166721878</v>
      </c>
      <c r="C33">
        <f>C32*EXP(RATES!O34)*(1-DATA!$B$6)</f>
        <v>21693.936791680469</v>
      </c>
      <c r="D33">
        <f t="shared" si="1"/>
        <v>108469.68395840234</v>
      </c>
      <c r="E33">
        <f>E32*(1-'LIFE TABLE MALE'!D93/1000)</f>
        <v>0.1988663322971663</v>
      </c>
      <c r="F33">
        <f t="shared" si="2"/>
        <v>6.486145655571058E-3</v>
      </c>
      <c r="G33">
        <f t="shared" si="0"/>
        <v>108449.68395840234</v>
      </c>
      <c r="H33">
        <f>MAX(D33,DATA!$B$3)</f>
        <v>108469.68395840234</v>
      </c>
      <c r="I33">
        <f>G33*DATA!$B$7*F32*E33</f>
        <v>24.685878396937127</v>
      </c>
      <c r="J33">
        <f>H33*'LIFE TABLE MALE'!D93/1000*F32*E32</f>
        <v>36.318234031439403</v>
      </c>
      <c r="K33">
        <f>0</f>
        <v>0</v>
      </c>
      <c r="L33" s="43">
        <f>DATA!$B$8*((1+DATA!$B$9)^A32)*F33*E33</f>
        <v>0.11682159148546863</v>
      </c>
      <c r="M33">
        <f>B32*EXP(RATES!O34)*(DATA!$B$12)</f>
        <v>1242.1886097485749</v>
      </c>
      <c r="N33">
        <f>C32*EXP(RATES!O34)*(DATA!$B$12)</f>
        <v>310.54715243714372</v>
      </c>
      <c r="O33">
        <f t="shared" si="3"/>
        <v>1552.7357621857186</v>
      </c>
      <c r="P33">
        <f t="shared" si="4"/>
        <v>2.0028365897439477</v>
      </c>
      <c r="Q33">
        <f>RATES!G34</f>
        <v>0.46258987582736705</v>
      </c>
      <c r="R33" s="45">
        <f t="shared" si="5"/>
        <v>63.123770609605948</v>
      </c>
      <c r="S33">
        <f t="shared" si="6"/>
        <v>29.200417208052816</v>
      </c>
      <c r="T33">
        <f>C32*EXP(RATES!O34)*(DATA!$B$6-DATA!$B$12)</f>
        <v>177.45551567836782</v>
      </c>
      <c r="U33">
        <f>B32*EXP(RATES!O34)*(DATA!$B$6-DATA!$B$12)</f>
        <v>709.82206271347127</v>
      </c>
      <c r="V33">
        <f t="shared" si="7"/>
        <v>887.27757839183914</v>
      </c>
      <c r="W33">
        <f t="shared" si="8"/>
        <v>1.1444780512822557</v>
      </c>
      <c r="X33">
        <f>W33*BASE!Q33</f>
        <v>0.52942395962980571</v>
      </c>
    </row>
    <row r="34" spans="1:24" x14ac:dyDescent="0.3">
      <c r="A34" s="5">
        <v>32</v>
      </c>
      <c r="B34">
        <f>B33*EXP(RATES!O35)*(1-DATA!$B$6)</f>
        <v>87439.193933082599</v>
      </c>
      <c r="C34">
        <f>C33*EXP(RATES!O35)*(1-DATA!$B$6)</f>
        <v>21859.79848327065</v>
      </c>
      <c r="D34">
        <f t="shared" si="1"/>
        <v>109298.99241635326</v>
      </c>
      <c r="E34">
        <f>E33*(1-'LIFE TABLE MALE'!D94/1000)</f>
        <v>0.1590545553724837</v>
      </c>
      <c r="F34">
        <f t="shared" si="2"/>
        <v>5.5132238072353994E-3</v>
      </c>
      <c r="G34">
        <f t="shared" si="0"/>
        <v>109278.99241635326</v>
      </c>
      <c r="H34">
        <f>MAX(D34,DATA!$B$3)</f>
        <v>109298.99241635326</v>
      </c>
      <c r="I34">
        <f>G34*DATA!$B$7*F33*E34</f>
        <v>16.9106674892694</v>
      </c>
      <c r="J34">
        <f>H34*'LIFE TABLE MALE'!D94/1000*F33*E33</f>
        <v>28.223730561435943</v>
      </c>
      <c r="K34">
        <f>0</f>
        <v>0</v>
      </c>
      <c r="L34" s="43">
        <f>DATA!$B$8*((1+DATA!$B$9)^A33)*F34*E34</f>
        <v>8.1007842145788281E-2</v>
      </c>
      <c r="M34">
        <f>B33*EXP(RATES!O35)*(DATA!$B$12)</f>
        <v>1251.6858027230637</v>
      </c>
      <c r="N34">
        <f>C33*EXP(RATES!O35)*(DATA!$B$12)</f>
        <v>312.92145068076593</v>
      </c>
      <c r="O34">
        <f t="shared" si="3"/>
        <v>1564.6072534038296</v>
      </c>
      <c r="P34">
        <f t="shared" si="4"/>
        <v>1.3720093596692684</v>
      </c>
      <c r="Q34">
        <f>RATES!G35</f>
        <v>0.44898020595178956</v>
      </c>
      <c r="R34" s="45">
        <f t="shared" si="5"/>
        <v>46.587415252520401</v>
      </c>
      <c r="S34">
        <f t="shared" si="6"/>
        <v>20.916827294838154</v>
      </c>
      <c r="T34">
        <f>C33*EXP(RATES!O35)*(DATA!$B$6-DATA!$B$12)</f>
        <v>178.81225753186621</v>
      </c>
      <c r="U34">
        <f>B33*EXP(RATES!O35)*(DATA!$B$6-DATA!$B$12)</f>
        <v>715.24903012746483</v>
      </c>
      <c r="V34">
        <f t="shared" si="7"/>
        <v>894.06128765933101</v>
      </c>
      <c r="W34">
        <f t="shared" si="8"/>
        <v>0.78400534838243885</v>
      </c>
      <c r="X34">
        <f>W34*BASE!Q34</f>
        <v>0.3520028827840519</v>
      </c>
    </row>
    <row r="35" spans="1:24" x14ac:dyDescent="0.3">
      <c r="A35" s="5">
        <v>33</v>
      </c>
      <c r="B35">
        <f>B34*EXP(RATES!O36)*(1-DATA!$B$6)</f>
        <v>88135.146395904914</v>
      </c>
      <c r="C35">
        <f>C34*EXP(RATES!O36)*(1-DATA!$B$6)</f>
        <v>22033.786598976229</v>
      </c>
      <c r="D35">
        <f t="shared" si="1"/>
        <v>110168.93299488115</v>
      </c>
      <c r="E35">
        <f>E34*(1-'LIFE TABLE MALE'!D95/1000)</f>
        <v>0.12331571729742245</v>
      </c>
      <c r="F35">
        <f t="shared" si="2"/>
        <v>4.6862402361500894E-3</v>
      </c>
      <c r="G35">
        <f t="shared" si="0"/>
        <v>110148.93299488115</v>
      </c>
      <c r="H35">
        <f>MAX(D35,DATA!$B$3)</f>
        <v>110168.93299488115</v>
      </c>
      <c r="I35">
        <f>G35*DATA!$B$7*F34*E35</f>
        <v>11.232996146352695</v>
      </c>
      <c r="J35">
        <f>H35*'LIFE TABLE MALE'!D95/1000*F34*E34</f>
        <v>21.707269338567791</v>
      </c>
      <c r="K35">
        <f>0</f>
        <v>0</v>
      </c>
      <c r="L35" s="43">
        <f>DATA!$B$8*((1+DATA!$B$9)^A34)*F35*E35</f>
        <v>5.4452582632661027E-2</v>
      </c>
      <c r="M35">
        <f>B34*EXP(RATES!O36)*(DATA!$B$12)</f>
        <v>1261.6483124158169</v>
      </c>
      <c r="N35">
        <f>C34*EXP(RATES!O36)*(DATA!$B$12)</f>
        <v>315.41207810395423</v>
      </c>
      <c r="O35">
        <f t="shared" si="3"/>
        <v>1577.0603905197711</v>
      </c>
      <c r="P35">
        <f t="shared" si="4"/>
        <v>0.91136281798769814</v>
      </c>
      <c r="Q35">
        <f>RATES!G36</f>
        <v>0.43563530089638008</v>
      </c>
      <c r="R35" s="45">
        <f t="shared" si="5"/>
        <v>33.906080885540845</v>
      </c>
      <c r="S35">
        <f t="shared" si="6"/>
        <v>14.770685748789587</v>
      </c>
      <c r="T35">
        <f>C34*EXP(RATES!O36)*(DATA!$B$6-DATA!$B$12)</f>
        <v>180.2354732022595</v>
      </c>
      <c r="U35">
        <f>B34*EXP(RATES!O36)*(DATA!$B$6-DATA!$B$12)</f>
        <v>720.94189280903799</v>
      </c>
      <c r="V35">
        <f t="shared" si="7"/>
        <v>901.17736601129752</v>
      </c>
      <c r="W35">
        <f t="shared" si="8"/>
        <v>0.52077875313582744</v>
      </c>
      <c r="X35">
        <f>W35*BASE!Q35</f>
        <v>0.22686960882276783</v>
      </c>
    </row>
    <row r="36" spans="1:24" x14ac:dyDescent="0.3">
      <c r="A36" s="5">
        <v>34</v>
      </c>
      <c r="B36">
        <f>B35*EXP(RATES!O37)*(1-DATA!$B$6)</f>
        <v>88864.291917679613</v>
      </c>
      <c r="C36">
        <f>C35*EXP(RATES!O37)*(1-DATA!$B$6)</f>
        <v>22216.072979419903</v>
      </c>
      <c r="D36">
        <f t="shared" si="1"/>
        <v>111080.36489709951</v>
      </c>
      <c r="E36">
        <f>E35*(1-'LIFE TABLE MALE'!D96/1000)</f>
        <v>9.2980118665901043E-2</v>
      </c>
      <c r="F36">
        <f t="shared" si="2"/>
        <v>3.9833042007275761E-3</v>
      </c>
      <c r="G36">
        <f t="shared" si="0"/>
        <v>111060.36489709951</v>
      </c>
      <c r="H36">
        <f>MAX(D36,DATA!$B$3)</f>
        <v>111080.36489709951</v>
      </c>
      <c r="I36">
        <f>G36*DATA!$B$7*F35*E36</f>
        <v>7.2588028285782284</v>
      </c>
      <c r="J36">
        <f>H36*'LIFE TABLE MALE'!D96/1000*F35*E35</f>
        <v>15.791173887283422</v>
      </c>
      <c r="K36">
        <f>0</f>
        <v>0</v>
      </c>
      <c r="L36" s="43">
        <f>DATA!$B$8*((1+DATA!$B$9)^A35)*F36*E36</f>
        <v>3.5596659379171933E-2</v>
      </c>
      <c r="M36">
        <f>B35*EXP(RATES!O37)*(DATA!$B$12)</f>
        <v>1272.0859783716919</v>
      </c>
      <c r="N36">
        <f>C35*EXP(RATES!O37)*(DATA!$B$12)</f>
        <v>318.02149459292298</v>
      </c>
      <c r="O36">
        <f t="shared" si="3"/>
        <v>1590.1074729646148</v>
      </c>
      <c r="P36">
        <f t="shared" si="4"/>
        <v>0.58892507921040294</v>
      </c>
      <c r="Q36">
        <f>RATES!G37</f>
        <v>0.42255550600771669</v>
      </c>
      <c r="R36" s="45">
        <f t="shared" si="5"/>
        <v>23.674498454451225</v>
      </c>
      <c r="S36">
        <f t="shared" si="6"/>
        <v>10.003789673899544</v>
      </c>
      <c r="T36">
        <f>C35*EXP(RATES!O37)*(DATA!$B$6-DATA!$B$12)</f>
        <v>181.72656833881308</v>
      </c>
      <c r="U36">
        <f>B35*EXP(RATES!O37)*(DATA!$B$6-DATA!$B$12)</f>
        <v>726.90627335525232</v>
      </c>
      <c r="V36">
        <f t="shared" si="7"/>
        <v>908.63284169406541</v>
      </c>
      <c r="W36">
        <f t="shared" si="8"/>
        <v>0.33652861669165879</v>
      </c>
      <c r="X36">
        <f>W36*BASE!Q36</f>
        <v>0.14220201991222081</v>
      </c>
    </row>
    <row r="37" spans="1:24" x14ac:dyDescent="0.3">
      <c r="A37" s="6">
        <v>35</v>
      </c>
      <c r="B37">
        <f>B36*EXP(RATES!O38)*(1-DATA!$B$6)</f>
        <v>89596.779479446108</v>
      </c>
      <c r="C37">
        <f>C36*EXP(RATES!O38)*(1-DATA!$B$6)</f>
        <v>22399.194869861527</v>
      </c>
      <c r="D37">
        <f t="shared" si="1"/>
        <v>111995.97434930764</v>
      </c>
      <c r="E37">
        <f>E36*(1-'LIFE TABLE MALE'!D97/1000)</f>
        <v>6.7353135477056972E-2</v>
      </c>
      <c r="F37">
        <f t="shared" si="2"/>
        <v>3.3858085706184394E-3</v>
      </c>
      <c r="G37">
        <f t="shared" si="0"/>
        <v>111975.97434930764</v>
      </c>
      <c r="H37">
        <f>MAX(D37,DATA!$B$3)</f>
        <v>111995.97434930764</v>
      </c>
      <c r="I37">
        <f>G37*DATA!$B$7*F36*E37</f>
        <v>4.506271992464332</v>
      </c>
      <c r="J37">
        <f>H37*'LIFE TABLE MALE'!D97/1000*F36*E36</f>
        <v>11.432556877563311</v>
      </c>
      <c r="K37">
        <f>0</f>
        <v>0</v>
      </c>
      <c r="L37" s="43">
        <f>DATA!$B$8*((1+DATA!$B$9)^A36)*F37*E37</f>
        <v>2.2356100969064117E-2</v>
      </c>
      <c r="M37">
        <f>B36*EXP(RATES!O38)*(DATA!$B$12)</f>
        <v>1282.5714853908441</v>
      </c>
      <c r="N37">
        <f>C36*EXP(RATES!O38)*(DATA!$B$12)</f>
        <v>320.64287134771104</v>
      </c>
      <c r="O37">
        <f t="shared" si="3"/>
        <v>1603.2143567385551</v>
      </c>
      <c r="P37">
        <f t="shared" si="4"/>
        <v>0.36560473478463873</v>
      </c>
      <c r="Q37">
        <f>RATES!G38</f>
        <v>0.40988073390848567</v>
      </c>
      <c r="R37" s="45">
        <f t="shared" si="5"/>
        <v>16.326789705781344</v>
      </c>
      <c r="S37">
        <f t="shared" si="6"/>
        <v>6.6920365469751664</v>
      </c>
      <c r="T37">
        <f>C36*EXP(RATES!O38)*(DATA!$B$6-DATA!$B$12)</f>
        <v>183.22449791297771</v>
      </c>
      <c r="U37">
        <f>B36*EXP(RATES!O38)*(DATA!$B$6-DATA!$B$12)</f>
        <v>732.89799165191084</v>
      </c>
      <c r="V37">
        <f t="shared" si="7"/>
        <v>916.12248956488861</v>
      </c>
      <c r="W37">
        <f t="shared" si="8"/>
        <v>0.20891699130550784</v>
      </c>
      <c r="X37">
        <f>W37*BASE!Q37</f>
        <v>8.5631049722254271E-2</v>
      </c>
    </row>
    <row r="38" spans="1:24" x14ac:dyDescent="0.3">
      <c r="A38" s="5">
        <v>36</v>
      </c>
      <c r="B38">
        <f>B37*EXP(RATES!O39)*(1-DATA!$B$6)</f>
        <v>90361.659728555722</v>
      </c>
      <c r="C38">
        <f>C37*EXP(RATES!O39)*(1-DATA!$B$6)</f>
        <v>22590.41493213893</v>
      </c>
      <c r="D38">
        <f t="shared" si="1"/>
        <v>112952.07466069465</v>
      </c>
      <c r="E38">
        <f>E37*(1-'LIFE TABLE MALE'!D98/1000)</f>
        <v>4.6772681765307828E-2</v>
      </c>
      <c r="F38">
        <f t="shared" si="2"/>
        <v>2.8779372850256733E-3</v>
      </c>
      <c r="G38">
        <f t="shared" si="0"/>
        <v>112932.07466069465</v>
      </c>
      <c r="H38">
        <f>MAX(D38,DATA!$B$3)</f>
        <v>112952.07466069465</v>
      </c>
      <c r="I38">
        <f>G38*DATA!$B$7*F37*E38</f>
        <v>2.6826451955111525</v>
      </c>
      <c r="J38">
        <f>H38*'LIFE TABLE MALE'!D98/1000*F37*E37</f>
        <v>7.8706673433759136</v>
      </c>
      <c r="K38">
        <f>0</f>
        <v>0</v>
      </c>
      <c r="L38" s="43">
        <f>DATA!$B$8*((1+DATA!$B$9)^A37)*F38*E38</f>
        <v>1.3460141117876221E-2</v>
      </c>
      <c r="M38">
        <f>B37*EXP(RATES!O39)*(DATA!$B$12)</f>
        <v>1293.520691410818</v>
      </c>
      <c r="N38">
        <f>C37*EXP(RATES!O39)*(DATA!$B$12)</f>
        <v>323.3801728527045</v>
      </c>
      <c r="O38">
        <f t="shared" si="3"/>
        <v>1616.9008642635226</v>
      </c>
      <c r="P38">
        <f t="shared" si="4"/>
        <v>0.21764915745101013</v>
      </c>
      <c r="Q38">
        <f>RATES!G39</f>
        <v>0.39747018785099719</v>
      </c>
      <c r="R38" s="46">
        <f t="shared" si="5"/>
        <v>10.784421837455954</v>
      </c>
      <c r="S38">
        <f t="shared" si="6"/>
        <v>4.2864861735980142</v>
      </c>
      <c r="T38">
        <f>C37*EXP(RATES!O39)*(DATA!$B$6-DATA!$B$12)</f>
        <v>184.78867020154539</v>
      </c>
      <c r="U38">
        <f>B37*EXP(RATES!O39)*(DATA!$B$6-DATA!$B$12)</f>
        <v>739.15468080618155</v>
      </c>
      <c r="V38">
        <f t="shared" si="7"/>
        <v>923.94335100772696</v>
      </c>
      <c r="W38">
        <f t="shared" si="8"/>
        <v>0.12437094711486289</v>
      </c>
      <c r="X38">
        <f>W38*BASE!Q38</f>
        <v>4.9433743712950992E-2</v>
      </c>
    </row>
    <row r="39" spans="1:24" x14ac:dyDescent="0.3">
      <c r="A39" s="5">
        <v>37</v>
      </c>
      <c r="B39">
        <f>B38*EXP(RATES!O40)*(1-DATA!$B$6)</f>
        <v>91159.651578764926</v>
      </c>
      <c r="C39">
        <f>C38*EXP(RATES!O40)*(1-DATA!$B$6)</f>
        <v>22789.912894691231</v>
      </c>
      <c r="D39">
        <f t="shared" si="1"/>
        <v>113949.56447345615</v>
      </c>
      <c r="E39">
        <f>E38*(1-'LIFE TABLE MALE'!D99/1000)</f>
        <v>3.1217167791388403E-2</v>
      </c>
      <c r="F39">
        <f t="shared" si="2"/>
        <v>2.4462466922718223E-3</v>
      </c>
      <c r="G39">
        <f t="shared" si="0"/>
        <v>113929.56447345615</v>
      </c>
      <c r="H39">
        <f>MAX(D39,DATA!$B$3)</f>
        <v>113949.56447345615</v>
      </c>
      <c r="I39">
        <f>G39*DATA!$B$7*F38*E39</f>
        <v>1.5353327738864102</v>
      </c>
      <c r="J39">
        <f>H39*'LIFE TABLE MALE'!D99/1000*F38*E38</f>
        <v>5.1012705892288768</v>
      </c>
      <c r="K39">
        <f>0</f>
        <v>0</v>
      </c>
      <c r="L39" s="43">
        <f>DATA!$B$8*((1+DATA!$B$9)^A38)*F39*E39</f>
        <v>7.7887889828240431E-3</v>
      </c>
      <c r="M39">
        <f>B38*EXP(RATES!O40)*(DATA!$B$12)</f>
        <v>1304.9438876305819</v>
      </c>
      <c r="N39">
        <f>C38*EXP(RATES!O40)*(DATA!$B$12)</f>
        <v>326.23597190764548</v>
      </c>
      <c r="O39">
        <f t="shared" si="3"/>
        <v>1631.1798595382274</v>
      </c>
      <c r="P39">
        <f t="shared" si="4"/>
        <v>0.12456487617432351</v>
      </c>
      <c r="Q39">
        <f>RATES!G40</f>
        <v>0.38532302185706108</v>
      </c>
      <c r="R39" s="46">
        <f t="shared" si="5"/>
        <v>6.7689570282724345</v>
      </c>
      <c r="S39">
        <f t="shared" si="6"/>
        <v>2.6082349769545266</v>
      </c>
      <c r="T39">
        <f>C38*EXP(RATES!O40)*(DATA!$B$6-DATA!$B$12)</f>
        <v>186.42055537579736</v>
      </c>
      <c r="U39">
        <f>B38*EXP(RATES!O40)*(DATA!$B$6-DATA!$B$12)</f>
        <v>745.68222150318945</v>
      </c>
      <c r="V39">
        <f t="shared" si="7"/>
        <v>932.10277687898679</v>
      </c>
      <c r="W39">
        <f t="shared" si="8"/>
        <v>7.117992924247056E-2</v>
      </c>
      <c r="X39">
        <f>W39*BASE!Q39</f>
        <v>2.7427265431280545E-2</v>
      </c>
    </row>
    <row r="40" spans="1:24" x14ac:dyDescent="0.3">
      <c r="A40" s="5">
        <v>38</v>
      </c>
      <c r="B40">
        <f>B39*EXP(RATES!O41)*(1-DATA!$B$6)</f>
        <v>91991.509139589645</v>
      </c>
      <c r="C40">
        <f>C39*EXP(RATES!O41)*(1-DATA!$B$6)</f>
        <v>22997.877284897411</v>
      </c>
      <c r="D40">
        <f t="shared" si="1"/>
        <v>114989.38642448705</v>
      </c>
      <c r="E40">
        <f>E39*(1-'LIFE TABLE MALE'!D100/1000)</f>
        <v>2.0085822836336076E-2</v>
      </c>
      <c r="F40">
        <f t="shared" si="2"/>
        <v>2.0793096884310488E-3</v>
      </c>
      <c r="G40">
        <f t="shared" si="0"/>
        <v>114969.38642448705</v>
      </c>
      <c r="H40">
        <f>MAX(D40,DATA!$B$3)</f>
        <v>114989.38642448705</v>
      </c>
      <c r="I40">
        <f>G40*DATA!$B$7*F39*E40</f>
        <v>0.84735101074959729</v>
      </c>
      <c r="J40">
        <f>H40*'LIFE TABLE MALE'!D100/1000*F39*E39</f>
        <v>3.1311628065071728</v>
      </c>
      <c r="K40">
        <f>0</f>
        <v>0</v>
      </c>
      <c r="L40" s="43">
        <f>DATA!$B$8*((1+DATA!$B$9)^A39)*F40*E40</f>
        <v>4.3449538147644472E-3</v>
      </c>
      <c r="M40">
        <f>B39*EXP(RATES!O41)*(DATA!$B$12)</f>
        <v>1316.8518690738806</v>
      </c>
      <c r="N40">
        <f>C39*EXP(RATES!O41)*(DATA!$B$12)</f>
        <v>329.21296726847015</v>
      </c>
      <c r="O40">
        <f t="shared" si="3"/>
        <v>1646.0648363423506</v>
      </c>
      <c r="P40">
        <f t="shared" si="4"/>
        <v>6.8747315221903235E-2</v>
      </c>
      <c r="Q40">
        <f>RATES!G41</f>
        <v>0.37343818647922755</v>
      </c>
      <c r="R40" s="46">
        <f t="shared" si="5"/>
        <v>4.0516060862934378</v>
      </c>
      <c r="S40">
        <f t="shared" si="6"/>
        <v>1.5130244291936221</v>
      </c>
      <c r="T40">
        <f>C39*EXP(RATES!O41)*(DATA!$B$6-DATA!$B$12)</f>
        <v>188.12169558198289</v>
      </c>
      <c r="U40">
        <f>B39*EXP(RATES!O41)*(DATA!$B$6-DATA!$B$12)</f>
        <v>752.48678232793156</v>
      </c>
      <c r="V40">
        <f t="shared" si="7"/>
        <v>940.60847790991443</v>
      </c>
      <c r="W40">
        <f t="shared" si="8"/>
        <v>3.9284180126801835E-2</v>
      </c>
      <c r="X40">
        <f>W40*BASE!Q40</f>
        <v>1.4670212983876189E-2</v>
      </c>
    </row>
    <row r="41" spans="1:24" x14ac:dyDescent="0.3">
      <c r="A41" s="5">
        <v>39</v>
      </c>
      <c r="B41">
        <f>B40*EXP(RATES!O42)*(1-DATA!$B$6)</f>
        <v>92822.74661856427</v>
      </c>
      <c r="C41">
        <f>C40*EXP(RATES!O42)*(1-DATA!$B$6)</f>
        <v>23205.686654641067</v>
      </c>
      <c r="D41">
        <f t="shared" si="1"/>
        <v>116028.43327320533</v>
      </c>
      <c r="E41">
        <f>E40*(1-'LIFE TABLE MALE'!D101/1000)</f>
        <v>1.2471630665793342E-2</v>
      </c>
      <c r="F41">
        <f t="shared" si="2"/>
        <v>1.7674132351663914E-3</v>
      </c>
      <c r="G41">
        <f t="shared" si="0"/>
        <v>116008.43327320533</v>
      </c>
      <c r="H41">
        <f>MAX(D41,DATA!$B$3)</f>
        <v>116028.43327320533</v>
      </c>
      <c r="I41">
        <f>G41*DATA!$B$7*F40*E41</f>
        <v>0.45125625927611096</v>
      </c>
      <c r="J41">
        <f>H41*'LIFE TABLE MALE'!D101/1000*F40*E40</f>
        <v>1.8369927348500696</v>
      </c>
      <c r="K41">
        <f>0</f>
        <v>0</v>
      </c>
      <c r="L41" s="43">
        <f>DATA!$B$8*((1+DATA!$B$9)^A40)*F41*E41</f>
        <v>2.3390412203611638E-3</v>
      </c>
      <c r="M41">
        <f>B40*EXP(RATES!O42)*(DATA!$B$12)</f>
        <v>1328.7509740898772</v>
      </c>
      <c r="N41">
        <f>C40*EXP(RATES!O42)*(DATA!$B$12)</f>
        <v>332.1877435224693</v>
      </c>
      <c r="O41">
        <f t="shared" si="3"/>
        <v>1660.9387176123464</v>
      </c>
      <c r="P41">
        <f t="shared" si="4"/>
        <v>3.6611283377232726E-2</v>
      </c>
      <c r="Q41">
        <f>RATES!G42</f>
        <v>0.36195193998143993</v>
      </c>
      <c r="R41" s="46">
        <f t="shared" si="5"/>
        <v>2.3271993187237747</v>
      </c>
      <c r="S41">
        <f t="shared" si="6"/>
        <v>0.84233430813555565</v>
      </c>
      <c r="T41">
        <f>C40*EXP(RATES!O42)*(DATA!$B$6-DATA!$B$12)</f>
        <v>189.82156772712528</v>
      </c>
      <c r="U41">
        <f>B40*EXP(RATES!O42)*(DATA!$B$6-DATA!$B$12)</f>
        <v>759.28627090850114</v>
      </c>
      <c r="V41">
        <f t="shared" si="7"/>
        <v>949.10783863562642</v>
      </c>
      <c r="W41">
        <f t="shared" si="8"/>
        <v>2.0920733358418694E-2</v>
      </c>
      <c r="X41">
        <f>W41*BASE!Q41</f>
        <v>7.5723000249140714E-3</v>
      </c>
    </row>
    <row r="42" spans="1:24" x14ac:dyDescent="0.3">
      <c r="A42" s="6">
        <v>40</v>
      </c>
      <c r="B42">
        <f>B41*EXP(RATES!O43)*(1-DATA!$B$6)</f>
        <v>93686.981367791916</v>
      </c>
      <c r="C42">
        <f>C41*EXP(RATES!O43)*(1-DATA!$B$6)</f>
        <v>23421.745341947979</v>
      </c>
      <c r="D42">
        <f t="shared" si="1"/>
        <v>117108.72670973989</v>
      </c>
      <c r="E42">
        <f>E41*(1-'LIFE TABLE MALE'!D102/1000)</f>
        <v>7.4516144932450555E-3</v>
      </c>
      <c r="F42">
        <f t="shared" si="2"/>
        <v>1.5023012498914326E-3</v>
      </c>
      <c r="G42">
        <f t="shared" si="0"/>
        <v>117088.72670973989</v>
      </c>
      <c r="H42">
        <f>MAX(D42,DATA!$B$3)</f>
        <v>117108.72670973989</v>
      </c>
      <c r="I42">
        <f>G42*DATA!$B$7*F41*E42</f>
        <v>0.23131022118899602</v>
      </c>
      <c r="J42">
        <f>H42*'LIFE TABLE MALE'!D102/1000*F41*E41</f>
        <v>1.0390405053583736</v>
      </c>
      <c r="K42">
        <f>0</f>
        <v>0</v>
      </c>
      <c r="L42" s="43">
        <f>DATA!$B$8*((1+DATA!$B$9)^A41)*F42*E42</f>
        <v>1.2116693167864463E-3</v>
      </c>
      <c r="M42">
        <f>B41*EXP(RATES!O43)*(DATA!$B$12)</f>
        <v>1341.122432667778</v>
      </c>
      <c r="N42">
        <f>C41*EXP(RATES!O43)*(DATA!$B$12)</f>
        <v>335.28060816694449</v>
      </c>
      <c r="O42">
        <f t="shared" si="3"/>
        <v>1676.4030408347226</v>
      </c>
      <c r="P42">
        <f t="shared" si="4"/>
        <v>1.8766610798086322E-2</v>
      </c>
      <c r="Q42">
        <f>RATES!G43</f>
        <v>0.35072355328981947</v>
      </c>
      <c r="R42" s="46">
        <f t="shared" si="5"/>
        <v>1.2903290066622422</v>
      </c>
      <c r="S42">
        <f t="shared" si="6"/>
        <v>0.45254877412950473</v>
      </c>
      <c r="T42">
        <f>C41*EXP(RATES!O43)*(DATA!$B$6-DATA!$B$12)</f>
        <v>191.58891895253967</v>
      </c>
      <c r="U42">
        <f>B41*EXP(RATES!O43)*(DATA!$B$6-DATA!$B$12)</f>
        <v>766.35567581015869</v>
      </c>
      <c r="V42">
        <f t="shared" si="7"/>
        <v>957.94459476269833</v>
      </c>
      <c r="W42">
        <f t="shared" si="8"/>
        <v>1.0723777598906466E-2</v>
      </c>
      <c r="X42">
        <f>W42*BASE!Q42</f>
        <v>3.7610813841782442E-3</v>
      </c>
    </row>
    <row r="43" spans="1:24" x14ac:dyDescent="0.3">
      <c r="A43" s="5">
        <v>41</v>
      </c>
      <c r="B43">
        <f>B42*EXP(RATES!O44)*(1-DATA!$B$6)</f>
        <v>94547.223145914031</v>
      </c>
      <c r="C43">
        <f>C42*EXP(RATES!O44)*(1-DATA!$B$6)</f>
        <v>23636.805786478508</v>
      </c>
      <c r="D43">
        <f t="shared" si="1"/>
        <v>118184.02893239254</v>
      </c>
      <c r="E43">
        <f>E42*(1-'LIFE TABLE MALE'!D103/1000)</f>
        <v>4.2161420347981409E-3</v>
      </c>
      <c r="F43">
        <f t="shared" si="2"/>
        <v>1.2769560624077175E-3</v>
      </c>
      <c r="G43">
        <f t="shared" si="0"/>
        <v>118164.02893239254</v>
      </c>
      <c r="H43">
        <f>MAX(D43,DATA!$B$3)</f>
        <v>118184.02893239254</v>
      </c>
      <c r="I43">
        <f>G43*DATA!$B$7*F42*E43</f>
        <v>0.11226614524850258</v>
      </c>
      <c r="J43">
        <f>H43*'LIFE TABLE MALE'!D103/1000*F42*E42</f>
        <v>0.57445171058599309</v>
      </c>
      <c r="K43">
        <f>0</f>
        <v>0</v>
      </c>
      <c r="L43" s="43">
        <f>DATA!$B$8*((1+DATA!$B$9)^A42)*F43*E43</f>
        <v>5.9438530280061901E-4</v>
      </c>
      <c r="M43">
        <f>B42*EXP(RATES!O44)*(DATA!$B$12)</f>
        <v>1353.4367321500988</v>
      </c>
      <c r="N43">
        <f>C42*EXP(RATES!O44)*(DATA!$B$12)</f>
        <v>338.3591830375247</v>
      </c>
      <c r="O43">
        <f t="shared" si="3"/>
        <v>1691.7959151876235</v>
      </c>
      <c r="P43">
        <f t="shared" si="4"/>
        <v>9.1083384406182369E-3</v>
      </c>
      <c r="Q43">
        <f>RATES!G44</f>
        <v>0.33988676611542612</v>
      </c>
      <c r="R43" s="46">
        <f t="shared" si="5"/>
        <v>0.69642057957791448</v>
      </c>
      <c r="S43">
        <f t="shared" si="6"/>
        <v>0.23670413864896811</v>
      </c>
      <c r="T43">
        <f>C42*EXP(RATES!O44)*(DATA!$B$6-DATA!$B$12)</f>
        <v>193.34810459287121</v>
      </c>
      <c r="U43">
        <f>B42*EXP(RATES!O44)*(DATA!$B$6-DATA!$B$12)</f>
        <v>773.39241837148484</v>
      </c>
      <c r="V43">
        <f t="shared" si="7"/>
        <v>966.74052296435605</v>
      </c>
      <c r="W43">
        <f t="shared" si="8"/>
        <v>5.2047648232104206E-3</v>
      </c>
      <c r="X43">
        <f>W43*BASE!Q43</f>
        <v>1.7690306841523175E-3</v>
      </c>
    </row>
    <row r="44" spans="1:24" x14ac:dyDescent="0.3">
      <c r="A44" s="5">
        <v>42</v>
      </c>
      <c r="B44">
        <f>B43*EXP(RATES!O45)*(1-DATA!$B$6)</f>
        <v>95439.467610481792</v>
      </c>
      <c r="C44">
        <f>C43*EXP(RATES!O45)*(1-DATA!$B$6)</f>
        <v>23859.866902620448</v>
      </c>
      <c r="D44">
        <f t="shared" si="1"/>
        <v>119299.33451310224</v>
      </c>
      <c r="E44">
        <f>E43*(1-'LIFE TABLE MALE'!D104/1000)</f>
        <v>2.2139168837298946E-3</v>
      </c>
      <c r="F44">
        <f t="shared" si="2"/>
        <v>1.08541265304656E-3</v>
      </c>
      <c r="G44">
        <f t="shared" si="0"/>
        <v>119279.33451310224</v>
      </c>
      <c r="H44">
        <f>MAX(D44,DATA!$B$3)</f>
        <v>119299.33451310224</v>
      </c>
      <c r="I44">
        <f>G44*DATA!$B$7*F43*E44</f>
        <v>5.0581736291732661E-2</v>
      </c>
      <c r="J44">
        <f>H44*'LIFE TABLE MALE'!D104/1000*F43*E43</f>
        <v>0.30501899642795832</v>
      </c>
      <c r="K44">
        <f>0</f>
        <v>0</v>
      </c>
      <c r="L44" s="43">
        <f>DATA!$B$8*((1+DATA!$B$9)^A43)*F44*E44</f>
        <v>2.7060339368842708E-4</v>
      </c>
      <c r="M44">
        <f>B43*EXP(RATES!O45)*(DATA!$B$12)</f>
        <v>1366.2091477983079</v>
      </c>
      <c r="N44">
        <f>C43*EXP(RATES!O45)*(DATA!$B$12)</f>
        <v>341.55228694957697</v>
      </c>
      <c r="O44">
        <f t="shared" si="3"/>
        <v>1707.7614347478848</v>
      </c>
      <c r="P44">
        <f t="shared" si="4"/>
        <v>4.1037736089594504E-3</v>
      </c>
      <c r="Q44">
        <f>RATES!G45</f>
        <v>0.32930162970189214</v>
      </c>
      <c r="R44" s="46">
        <f t="shared" si="5"/>
        <v>0.35997510972233887</v>
      </c>
      <c r="S44">
        <f t="shared" si="6"/>
        <v>0.11854039028368363</v>
      </c>
      <c r="T44">
        <f>C43*EXP(RATES!O45)*(DATA!$B$6-DATA!$B$12)</f>
        <v>195.17273539975824</v>
      </c>
      <c r="U44">
        <f>B43*EXP(RATES!O45)*(DATA!$B$6-DATA!$B$12)</f>
        <v>780.69094159903295</v>
      </c>
      <c r="V44">
        <f t="shared" si="7"/>
        <v>975.86367699879122</v>
      </c>
      <c r="W44">
        <f t="shared" si="8"/>
        <v>2.3450134908339711E-3</v>
      </c>
      <c r="X44">
        <f>W44*BASE!Q44</f>
        <v>7.7221676420454973E-4</v>
      </c>
    </row>
    <row r="45" spans="1:24" x14ac:dyDescent="0.3">
      <c r="A45" s="5">
        <v>43</v>
      </c>
      <c r="B45">
        <f>B44*EXP(RATES!O46)*(1-DATA!$B$6)</f>
        <v>96364.465078835521</v>
      </c>
      <c r="C45">
        <f>C44*EXP(RATES!O46)*(1-DATA!$B$6)</f>
        <v>24091.11626970888</v>
      </c>
      <c r="D45">
        <f t="shared" si="1"/>
        <v>120455.58134854439</v>
      </c>
      <c r="E45">
        <f>E44*(1-'LIFE TABLE MALE'!D105/1000)</f>
        <v>1.0858367228099039E-3</v>
      </c>
      <c r="F45">
        <f t="shared" si="2"/>
        <v>9.2260075508957592E-4</v>
      </c>
      <c r="G45">
        <f t="shared" si="0"/>
        <v>120435.58134854439</v>
      </c>
      <c r="H45">
        <f>MAX(D45,DATA!$B$3)</f>
        <v>120455.58134854439</v>
      </c>
      <c r="I45">
        <f>G45*DATA!$B$7*F44*E45</f>
        <v>2.1291461705298567E-2</v>
      </c>
      <c r="J45">
        <f>H45*'LIFE TABLE MALE'!D105/1000*F44*E44</f>
        <v>0.14748972623818557</v>
      </c>
      <c r="K45">
        <f>0</f>
        <v>0</v>
      </c>
      <c r="L45" s="43">
        <f>DATA!$B$8*((1+DATA!$B$9)^A44)*F45*E45</f>
        <v>1.1506826090247404E-4</v>
      </c>
      <c r="M45">
        <f>B44*EXP(RATES!O46)*(DATA!$B$12)</f>
        <v>1379.4504203514286</v>
      </c>
      <c r="N45">
        <f>C44*EXP(RATES!O46)*(DATA!$B$12)</f>
        <v>344.86260508785716</v>
      </c>
      <c r="O45">
        <f t="shared" si="3"/>
        <v>1724.3130254392859</v>
      </c>
      <c r="P45">
        <f t="shared" si="4"/>
        <v>1.7274060642933089E-3</v>
      </c>
      <c r="Q45">
        <f>RATES!G46</f>
        <v>0.3189655855815991</v>
      </c>
      <c r="R45" s="46">
        <f t="shared" si="5"/>
        <v>0.17062366226867992</v>
      </c>
      <c r="S45">
        <f t="shared" si="6"/>
        <v>5.4423076349606483E-2</v>
      </c>
      <c r="T45">
        <f>C44*EXP(RATES!O46)*(DATA!$B$6-DATA!$B$12)</f>
        <v>197.06434576448979</v>
      </c>
      <c r="U45">
        <f>B44*EXP(RATES!O46)*(DATA!$B$6-DATA!$B$12)</f>
        <v>788.25738305795915</v>
      </c>
      <c r="V45">
        <f t="shared" si="7"/>
        <v>985.3217288224489</v>
      </c>
      <c r="W45">
        <f t="shared" si="8"/>
        <v>9.8708917959617628E-4</v>
      </c>
      <c r="X45">
        <f>W45*BASE!Q45</f>
        <v>3.1484747819115463E-4</v>
      </c>
    </row>
    <row r="46" spans="1:24" x14ac:dyDescent="0.3">
      <c r="A46" s="5">
        <v>44</v>
      </c>
      <c r="B46">
        <f>B45*EXP(RATES!O47)*(1-DATA!$B$6)</f>
        <v>97281.312696218753</v>
      </c>
      <c r="C46">
        <f>C45*EXP(RATES!O47)*(1-DATA!$B$6)</f>
        <v>24320.328174054688</v>
      </c>
      <c r="D46">
        <f t="shared" si="1"/>
        <v>121601.64087027343</v>
      </c>
      <c r="E46">
        <f>E45*(1-'LIFE TABLE MALE'!D106/1000)</f>
        <v>4.9467420147581884E-4</v>
      </c>
      <c r="F46">
        <f t="shared" si="2"/>
        <v>7.8421064182613946E-4</v>
      </c>
      <c r="G46">
        <f t="shared" si="0"/>
        <v>121581.64087027343</v>
      </c>
      <c r="H46">
        <f>MAX(D46,DATA!$B$3)</f>
        <v>121601.64087027343</v>
      </c>
      <c r="I46">
        <f>G46*DATA!$B$7*F45*E46</f>
        <v>8.3232382528743674E-3</v>
      </c>
      <c r="J46">
        <f>H46*'LIFE TABLE MALE'!D106/1000*F45*E45</f>
        <v>6.6322384751434163E-2</v>
      </c>
      <c r="K46">
        <f>0</f>
        <v>0</v>
      </c>
      <c r="L46" s="43">
        <f>DATA!$B$8*((1+DATA!$B$9)^A45)*F46*E46</f>
        <v>4.5449528580294977E-5</v>
      </c>
      <c r="M46">
        <f>B45*EXP(RATES!O47)*(DATA!$B$12)</f>
        <v>1392.5750283712298</v>
      </c>
      <c r="N46">
        <f>C45*EXP(RATES!O47)*(DATA!$B$12)</f>
        <v>348.14375709280745</v>
      </c>
      <c r="O46">
        <f t="shared" si="3"/>
        <v>1740.7187854640372</v>
      </c>
      <c r="P46">
        <f t="shared" si="4"/>
        <v>6.7527490264262049E-4</v>
      </c>
      <c r="Q46">
        <f>RATES!G47</f>
        <v>0.30900832177573956</v>
      </c>
      <c r="R46" s="46">
        <f t="shared" si="5"/>
        <v>7.5366347435531444E-2</v>
      </c>
      <c r="S46">
        <f t="shared" si="6"/>
        <v>2.3288828539420884E-2</v>
      </c>
      <c r="T46">
        <f>C45*EXP(RATES!O47)*(DATA!$B$6-DATA!$B$12)</f>
        <v>198.93928976731848</v>
      </c>
      <c r="U46">
        <f>B45*EXP(RATES!O47)*(DATA!$B$6-DATA!$B$12)</f>
        <v>795.75715906927394</v>
      </c>
      <c r="V46">
        <f t="shared" si="7"/>
        <v>994.69644883659248</v>
      </c>
      <c r="W46">
        <f t="shared" si="8"/>
        <v>3.8587137293864018E-4</v>
      </c>
      <c r="X46">
        <f>W46*BASE!Q46</f>
        <v>1.1923746537306972E-4</v>
      </c>
    </row>
    <row r="47" spans="1:24" x14ac:dyDescent="0.3">
      <c r="A47" s="6">
        <v>45</v>
      </c>
      <c r="B47">
        <f>B46*EXP(RATES!O48)*(1-DATA!$B$6)</f>
        <v>98229.776108477323</v>
      </c>
      <c r="C47">
        <f>C46*EXP(RATES!O48)*(1-DATA!$B$6)</f>
        <v>24557.444027119331</v>
      </c>
      <c r="D47">
        <f t="shared" si="1"/>
        <v>122787.22013559665</v>
      </c>
      <c r="E47">
        <f>E46*(1-'LIFE TABLE MALE'!D107/1000)</f>
        <v>2.0813801883623825E-4</v>
      </c>
      <c r="F47">
        <f t="shared" si="2"/>
        <v>6.6657904555221851E-4</v>
      </c>
      <c r="G47">
        <f t="shared" si="0"/>
        <v>122767.22013559665</v>
      </c>
      <c r="H47">
        <f>MAX(D47,DATA!$B$3)</f>
        <v>122787.22013559665</v>
      </c>
      <c r="I47">
        <f>G47*DATA!$B$7*F46*E47</f>
        <v>3.0057844195118602E-3</v>
      </c>
      <c r="J47">
        <f>H47*'LIFE TABLE MALE'!D107/1000*F46*E46</f>
        <v>2.7590868373747836E-2</v>
      </c>
      <c r="K47">
        <f>0</f>
        <v>0</v>
      </c>
      <c r="L47" s="43">
        <f>DATA!$B$8*((1+DATA!$B$9)^A46)*F47*E47</f>
        <v>1.6579851462075104E-5</v>
      </c>
      <c r="M47">
        <f>B46*EXP(RATES!O48)*(DATA!$B$12)</f>
        <v>1406.1522142317817</v>
      </c>
      <c r="N47">
        <f>C46*EXP(RATES!O48)*(DATA!$B$12)</f>
        <v>351.53805355794543</v>
      </c>
      <c r="O47">
        <f t="shared" si="3"/>
        <v>1757.6902677897272</v>
      </c>
      <c r="P47">
        <f t="shared" si="4"/>
        <v>2.4386272454500734E-4</v>
      </c>
      <c r="Q47">
        <f>RATES!G48</f>
        <v>0.29929213083059769</v>
      </c>
      <c r="R47" s="46">
        <f t="shared" si="5"/>
        <v>3.0857095369266778E-2</v>
      </c>
      <c r="S47">
        <f t="shared" si="6"/>
        <v>9.2352858243108221E-3</v>
      </c>
      <c r="T47">
        <f>C46*EXP(RATES!O48)*(DATA!$B$6-DATA!$B$12)</f>
        <v>200.87888774739736</v>
      </c>
      <c r="U47">
        <f>B46*EXP(RATES!O48)*(DATA!$B$6-DATA!$B$12)</f>
        <v>803.51555098958943</v>
      </c>
      <c r="V47">
        <f t="shared" si="7"/>
        <v>1004.3944387369868</v>
      </c>
      <c r="W47">
        <f t="shared" si="8"/>
        <v>1.3935012831143274E-4</v>
      </c>
      <c r="X47">
        <f>W47*BASE!Q47</f>
        <v>4.1706396833845905E-5</v>
      </c>
    </row>
    <row r="48" spans="1:24" x14ac:dyDescent="0.3">
      <c r="A48" s="5">
        <v>46</v>
      </c>
      <c r="B48">
        <f>B47*EXP(RATES!O49)*(1-DATA!$B$6)</f>
        <v>99166.189047448002</v>
      </c>
      <c r="C48">
        <f>C47*EXP(RATES!O49)*(1-DATA!$B$6)</f>
        <v>24791.547261862001</v>
      </c>
      <c r="D48">
        <f t="shared" si="1"/>
        <v>123957.73630931</v>
      </c>
      <c r="E48">
        <f>E47*(1-'LIFE TABLE MALE'!D108/1000)</f>
        <v>8.0415959354706781E-5</v>
      </c>
      <c r="F48">
        <f t="shared" si="2"/>
        <v>5.665921887193857E-4</v>
      </c>
      <c r="G48">
        <f t="shared" si="0"/>
        <v>123937.73630931</v>
      </c>
      <c r="H48">
        <f>MAX(D48,DATA!$B$3)</f>
        <v>123957.73630931</v>
      </c>
      <c r="I48">
        <f>G48*DATA!$B$7*F47*E48</f>
        <v>9.9652620423495639E-4</v>
      </c>
      <c r="J48">
        <f>H48*'LIFE TABLE MALE'!D108/1000*F47*E47</f>
        <v>1.0553371017208659E-2</v>
      </c>
      <c r="K48">
        <f>0</f>
        <v>0</v>
      </c>
      <c r="L48" s="43">
        <f>DATA!$B$8*((1+DATA!$B$9)^A47)*F48*E48</f>
        <v>5.5538041910564841E-6</v>
      </c>
      <c r="M48">
        <f>B47*EXP(RATES!O49)*(DATA!$B$12)</f>
        <v>1419.5568984297261</v>
      </c>
      <c r="N48">
        <f>C47*EXP(RATES!O49)*(DATA!$B$12)</f>
        <v>354.88922460743152</v>
      </c>
      <c r="O48">
        <f t="shared" si="3"/>
        <v>1774.4461230371576</v>
      </c>
      <c r="P48">
        <f t="shared" si="4"/>
        <v>8.0849185267086352E-5</v>
      </c>
      <c r="Q48">
        <f>RATES!G49</f>
        <v>0.28994370460990543</v>
      </c>
      <c r="R48" s="46">
        <f t="shared" si="5"/>
        <v>1.1636300210901758E-2</v>
      </c>
      <c r="S48">
        <f t="shared" si="6"/>
        <v>3.3738719911018795E-3</v>
      </c>
      <c r="T48">
        <f>C47*EXP(RATES!O49)*(DATA!$B$6-DATA!$B$12)</f>
        <v>202.79384263281796</v>
      </c>
      <c r="U48">
        <f>B47*EXP(RATES!O49)*(DATA!$B$6-DATA!$B$12)</f>
        <v>811.17537053127182</v>
      </c>
      <c r="V48">
        <f t="shared" si="7"/>
        <v>1013.9692131640898</v>
      </c>
      <c r="W48">
        <f t="shared" si="8"/>
        <v>4.6199534438335047E-5</v>
      </c>
      <c r="X48">
        <f>W48*BASE!Q48</f>
        <v>1.3395264166303771E-5</v>
      </c>
    </row>
    <row r="49" spans="1:24" x14ac:dyDescent="0.3">
      <c r="A49" s="5">
        <v>47</v>
      </c>
      <c r="B49">
        <f>B48*EXP(RATES!O50)*(1-DATA!$B$6)</f>
        <v>100132.91784628085</v>
      </c>
      <c r="C49">
        <f>C48*EXP(RATES!O50)*(1-DATA!$B$6)</f>
        <v>25033.229461570212</v>
      </c>
      <c r="D49">
        <f t="shared" si="1"/>
        <v>125166.14730785106</v>
      </c>
      <c r="E49">
        <f>E48*(1-'LIFE TABLE MALE'!D109/1000)</f>
        <v>2.836260995277507E-5</v>
      </c>
      <c r="F49">
        <f t="shared" si="2"/>
        <v>4.8160336041147783E-4</v>
      </c>
      <c r="G49">
        <f t="shared" si="0"/>
        <v>125146.14730785106</v>
      </c>
      <c r="H49">
        <f>MAX(D49,DATA!$B$3)</f>
        <v>125166.14730785106</v>
      </c>
      <c r="I49">
        <f>G49*DATA!$B$7*F48*E49</f>
        <v>3.0166541226957509E-4</v>
      </c>
      <c r="J49">
        <f>H49*'LIFE TABLE MALE'!D109/1000*F48*E48</f>
        <v>3.691527832044354E-3</v>
      </c>
      <c r="K49">
        <f>0</f>
        <v>0</v>
      </c>
      <c r="L49" s="43">
        <f>DATA!$B$8*((1+DATA!$B$9)^A48)*F49*E49</f>
        <v>1.6982968593746063E-6</v>
      </c>
      <c r="M49">
        <f>B48*EXP(RATES!O50)*(DATA!$B$12)</f>
        <v>1433.3955519917506</v>
      </c>
      <c r="N49">
        <f>C48*EXP(RATES!O50)*(DATA!$B$12)</f>
        <v>358.34888799793765</v>
      </c>
      <c r="O49">
        <f t="shared" si="3"/>
        <v>1791.7444399896883</v>
      </c>
      <c r="P49">
        <f t="shared" si="4"/>
        <v>2.4474383818643507E-5</v>
      </c>
      <c r="Q49">
        <f>RATES!G50</f>
        <v>0.28082727798558355</v>
      </c>
      <c r="R49" s="46">
        <f t="shared" si="5"/>
        <v>4.0193659249919472E-3</v>
      </c>
      <c r="S49">
        <f t="shared" si="6"/>
        <v>1.1287475919434958E-3</v>
      </c>
      <c r="T49">
        <f>C48*EXP(RATES!O50)*(DATA!$B$6-DATA!$B$12)</f>
        <v>204.77079314167861</v>
      </c>
      <c r="U49">
        <f>B48*EXP(RATES!O50)*(DATA!$B$6-DATA!$B$12)</f>
        <v>819.08317256671444</v>
      </c>
      <c r="V49">
        <f t="shared" si="7"/>
        <v>1023.853965708393</v>
      </c>
      <c r="W49">
        <f t="shared" si="8"/>
        <v>1.3985362182082001E-5</v>
      </c>
      <c r="X49">
        <f>W49*BASE!Q49</f>
        <v>3.9274711932366094E-6</v>
      </c>
    </row>
    <row r="50" spans="1:24" x14ac:dyDescent="0.3">
      <c r="A50" s="5">
        <v>48</v>
      </c>
      <c r="B50">
        <f>B49*EXP(RATES!O51)*(1-DATA!$B$6)</f>
        <v>101130.66967745037</v>
      </c>
      <c r="C50">
        <f>C49*EXP(RATES!O51)*(1-DATA!$B$6)</f>
        <v>25282.667419362591</v>
      </c>
      <c r="D50">
        <f t="shared" si="1"/>
        <v>126413.33709681296</v>
      </c>
      <c r="E50">
        <f>E49*(1-'LIFE TABLE MALE'!D110/1000)</f>
        <v>9.0786411414904827E-6</v>
      </c>
      <c r="F50">
        <f t="shared" si="2"/>
        <v>4.0936285634975616E-4</v>
      </c>
      <c r="G50">
        <f t="shared" si="0"/>
        <v>126393.33709681296</v>
      </c>
      <c r="H50">
        <f>MAX(D50,DATA!$B$3)</f>
        <v>126413.33709681296</v>
      </c>
      <c r="I50">
        <f>G50*DATA!$B$7*F49*E50</f>
        <v>8.2894515553433938E-5</v>
      </c>
      <c r="J50">
        <f>H50*'LIFE TABLE MALE'!D110/1000*F49*E49</f>
        <v>1.1740290011603509E-3</v>
      </c>
      <c r="K50">
        <f>0</f>
        <v>0</v>
      </c>
      <c r="L50" s="43">
        <f>DATA!$B$8*((1+DATA!$B$9)^A49)*F50*E50</f>
        <v>4.7131076692477652E-7</v>
      </c>
      <c r="M50">
        <f>B49*EXP(RATES!O51)*(DATA!$B$12)</f>
        <v>1447.678298041212</v>
      </c>
      <c r="N50">
        <f>C49*EXP(RATES!O51)*(DATA!$B$12)</f>
        <v>361.91957451030299</v>
      </c>
      <c r="O50">
        <f t="shared" si="3"/>
        <v>1809.5978725515149</v>
      </c>
      <c r="P50">
        <f t="shared" si="4"/>
        <v>6.7252953397517459E-6</v>
      </c>
      <c r="Q50">
        <f>RATES!G51</f>
        <v>0.27193939918145021</v>
      </c>
      <c r="R50" s="46">
        <f t="shared" si="5"/>
        <v>1.2641201228204614E-3</v>
      </c>
      <c r="S50">
        <f t="shared" si="6"/>
        <v>3.437640666929773E-4</v>
      </c>
      <c r="T50">
        <f>C49*EXP(RATES!O51)*(DATA!$B$6-DATA!$B$12)</f>
        <v>206.81118543445879</v>
      </c>
      <c r="U50">
        <f>B49*EXP(RATES!O51)*(DATA!$B$6-DATA!$B$12)</f>
        <v>827.24474173783517</v>
      </c>
      <c r="V50">
        <f t="shared" si="7"/>
        <v>1034.0559271722939</v>
      </c>
      <c r="W50">
        <f t="shared" si="8"/>
        <v>3.8430259084295675E-6</v>
      </c>
      <c r="X50">
        <f>W50*BASE!Q50</f>
        <v>1.0450701565770835E-6</v>
      </c>
    </row>
    <row r="51" spans="1:24" x14ac:dyDescent="0.3">
      <c r="A51" s="5">
        <v>49</v>
      </c>
      <c r="B51">
        <f>B50*EXP(RATES!O52)*(1-DATA!$B$6)</f>
        <v>102111.47643077932</v>
      </c>
      <c r="C51">
        <f>C50*EXP(RATES!O52)*(1-DATA!$B$6)</f>
        <v>25527.869107694831</v>
      </c>
      <c r="D51">
        <f t="shared" si="1"/>
        <v>127639.34553847415</v>
      </c>
      <c r="E51">
        <f>E50*(1-'LIFE TABLE MALE'!D111/1000)</f>
        <v>2.622101305262309E-6</v>
      </c>
      <c r="F51">
        <f t="shared" si="2"/>
        <v>3.4795842789729273E-4</v>
      </c>
      <c r="G51">
        <f t="shared" si="0"/>
        <v>127619.34553847415</v>
      </c>
      <c r="H51">
        <f>MAX(D51,DATA!$B$3)</f>
        <v>127639.34553847415</v>
      </c>
      <c r="I51">
        <f>G51*DATA!$B$7*F50*E51</f>
        <v>2.054781624113085E-5</v>
      </c>
      <c r="J51">
        <f>H51*'LIFE TABLE MALE'!D111/1000*F50*E50</f>
        <v>3.3735941733701159E-4</v>
      </c>
      <c r="K51">
        <f>0</f>
        <v>0</v>
      </c>
      <c r="L51" s="43">
        <f>DATA!$B$8*((1+DATA!$B$9)^A50)*F51*E51</f>
        <v>1.1801985469847796E-7</v>
      </c>
      <c r="M51">
        <f>B50*EXP(RATES!O52)*(DATA!$B$12)</f>
        <v>1461.7184765142235</v>
      </c>
      <c r="N51">
        <f>C50*EXP(RATES!O52)*(DATA!$B$12)</f>
        <v>365.42961912855588</v>
      </c>
      <c r="O51">
        <f t="shared" si="3"/>
        <v>1827.1480956427795</v>
      </c>
      <c r="P51">
        <f t="shared" si="4"/>
        <v>1.6670574868702912E-6</v>
      </c>
      <c r="Q51">
        <f>RATES!G52</f>
        <v>0.26340215020802832</v>
      </c>
      <c r="R51" s="46">
        <f t="shared" si="5"/>
        <v>3.596923109197112E-4</v>
      </c>
      <c r="S51">
        <f t="shared" si="6"/>
        <v>9.4743728109546597E-5</v>
      </c>
      <c r="T51">
        <f>C50*EXP(RATES!O52)*(DATA!$B$6-DATA!$B$12)</f>
        <v>208.8169252163176</v>
      </c>
      <c r="U51">
        <f>B50*EXP(RATES!O52)*(DATA!$B$6-DATA!$B$12)</f>
        <v>835.2677008652704</v>
      </c>
      <c r="V51">
        <f t="shared" si="7"/>
        <v>1044.0846260815879</v>
      </c>
      <c r="W51">
        <f t="shared" si="8"/>
        <v>9.526042782115945E-7</v>
      </c>
      <c r="X51">
        <f>W51*BASE!Q51</f>
        <v>2.5091801517830083E-7</v>
      </c>
    </row>
    <row r="52" spans="1:24" x14ac:dyDescent="0.3">
      <c r="A52" s="6">
        <v>50</v>
      </c>
      <c r="B52">
        <f>B51*EXP(RATES!O53)*(1-DATA!$B$6)</f>
        <v>103171.99920404634</v>
      </c>
      <c r="C52">
        <f>C51*EXP(RATES!O53)*(1-DATA!$B$6)</f>
        <v>25792.999801011585</v>
      </c>
      <c r="D52">
        <f t="shared" si="1"/>
        <v>128964.99900505792</v>
      </c>
      <c r="E52">
        <f>E51*(1-'LIFE TABLE MALE'!D112/1000)</f>
        <v>6.794887101443695E-7</v>
      </c>
      <c r="F52">
        <f t="shared" si="2"/>
        <v>2.957646637126988E-4</v>
      </c>
      <c r="G52">
        <f t="shared" si="0"/>
        <v>128944.99900505792</v>
      </c>
      <c r="H52">
        <f>MAX(D52,DATA!$B$3)</f>
        <v>128964.99900505792</v>
      </c>
      <c r="I52">
        <f>G52*DATA!$B$7*F51*E52</f>
        <v>4.5730438676062351E-6</v>
      </c>
      <c r="J52">
        <f>H52*'LIFE TABLE MALE'!D112/1000*F51*E51</f>
        <v>8.7173687907391763E-5</v>
      </c>
      <c r="K52">
        <f>E52*D52*F52</f>
        <v>2.5917934624765713E-5</v>
      </c>
      <c r="L52" s="43">
        <f>DATA!$B$8*((1+DATA!$B$9)^A51)*F52*E52</f>
        <v>2.6515935358856599E-8</v>
      </c>
      <c r="M52">
        <f>B51*EXP(RATES!O53)*(DATA!$B$12)</f>
        <v>1476.8997841070029</v>
      </c>
      <c r="N52">
        <f>C51*EXP(RATES!O53)*(DATA!$B$12)</f>
        <v>369.22494602675073</v>
      </c>
      <c r="O52">
        <f t="shared" si="3"/>
        <v>1846.1247301337537</v>
      </c>
      <c r="P52">
        <f t="shared" si="4"/>
        <v>3.7101337908662581E-7</v>
      </c>
      <c r="Q52">
        <f>RATES!G53</f>
        <v>0.25495931300893881</v>
      </c>
      <c r="R52" s="46">
        <f t="shared" si="5"/>
        <v>1.1806219571420918E-4</v>
      </c>
      <c r="S52">
        <f t="shared" si="6"/>
        <v>3.0101056311621655E-5</v>
      </c>
      <c r="T52">
        <f>C51*EXP(RATES!O53)*(DATA!$B$6-DATA!$B$12)</f>
        <v>210.98568344385751</v>
      </c>
      <c r="U52">
        <f>B51*EXP(RATES!O53)*(DATA!$B$6-DATA!$B$12)</f>
        <v>843.94273377543004</v>
      </c>
      <c r="V52">
        <f>T52+U52</f>
        <v>1054.9284172192874</v>
      </c>
      <c r="W52">
        <f t="shared" si="8"/>
        <v>2.1200764519235751E-7</v>
      </c>
      <c r="X52">
        <f>W52*BASE!Q52</f>
        <v>5.4053323570886324E-8</v>
      </c>
    </row>
    <row r="56" spans="1:24" x14ac:dyDescent="0.3">
      <c r="P56" s="52" t="s">
        <v>56</v>
      </c>
      <c r="Q56" s="47">
        <f>SUM(S3:S52)</f>
        <v>94493.615846372952</v>
      </c>
      <c r="T56" s="56" t="s">
        <v>59</v>
      </c>
    </row>
    <row r="57" spans="1:24" x14ac:dyDescent="0.3">
      <c r="P57" s="54" t="s">
        <v>57</v>
      </c>
      <c r="Q57" s="48">
        <f>DATA!B2-Q56</f>
        <v>5506.3841536270484</v>
      </c>
      <c r="T57" s="52" t="s">
        <v>60</v>
      </c>
      <c r="U57" s="47">
        <f>SUMPRODUCT(J3:J52,Q3:Q52)</f>
        <v>6428.6259520095382</v>
      </c>
    </row>
    <row r="58" spans="1:24" x14ac:dyDescent="0.3">
      <c r="T58" s="53" t="s">
        <v>61</v>
      </c>
      <c r="U58" s="50">
        <f>SUMPRODUCT(I3:I52,Q3:Q52)</f>
        <v>81227.100444462834</v>
      </c>
    </row>
    <row r="59" spans="1:24" x14ac:dyDescent="0.3">
      <c r="P59" s="55" t="s">
        <v>58</v>
      </c>
      <c r="Q59" s="49">
        <f>SUMPRODUCT(S3:S52,A3:A52)/SUM(S3:S52)</f>
        <v>5.6130733790753737</v>
      </c>
      <c r="T59" s="53" t="s">
        <v>47</v>
      </c>
      <c r="U59" s="51">
        <f>SUMPRODUCT(L3:L52,Q3:Q52)</f>
        <v>247.61986652066759</v>
      </c>
    </row>
    <row r="60" spans="1:24" x14ac:dyDescent="0.3">
      <c r="T60" s="54" t="s">
        <v>48</v>
      </c>
      <c r="U60" s="48">
        <f>SUMPRODUCT(P3:P52,Q3:Q52)</f>
        <v>6590.2695767718506</v>
      </c>
    </row>
    <row r="61" spans="1:24" x14ac:dyDescent="0.3">
      <c r="P61" s="55" t="s">
        <v>103</v>
      </c>
      <c r="Q61" s="49">
        <f>SUM(X3:X52)</f>
        <v>3765.868329583916</v>
      </c>
    </row>
    <row r="62" spans="1:24" x14ac:dyDescent="0.3">
      <c r="P62" s="55" t="s">
        <v>105</v>
      </c>
      <c r="Q62" s="49">
        <f>D2-Q56-Q61</f>
        <v>1740.5158240431324</v>
      </c>
    </row>
    <row r="63" spans="1:24" x14ac:dyDescent="0.3">
      <c r="P63" s="55" t="s">
        <v>106</v>
      </c>
      <c r="Q63" s="105">
        <f>(DATA!B6-DATA!B12)*DATA!B2*Q59</f>
        <v>4490.4587032602985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E440-C0A6-48C1-BC67-61241C774D61}">
  <dimension ref="A1:W60"/>
  <sheetViews>
    <sheetView zoomScale="66" workbookViewId="0">
      <selection activeCell="Q56" sqref="Q56"/>
    </sheetView>
  </sheetViews>
  <sheetFormatPr defaultColWidth="8.796875" defaultRowHeight="15.6" x14ac:dyDescent="0.3"/>
  <cols>
    <col min="3" max="4" width="11.796875" bestFit="1" customWidth="1"/>
    <col min="5" max="5" width="14" bestFit="1" customWidth="1"/>
    <col min="6" max="6" width="14.59765625" bestFit="1" customWidth="1"/>
    <col min="7" max="7" width="8.8984375" bestFit="1" customWidth="1"/>
    <col min="8" max="8" width="7.796875" bestFit="1" customWidth="1"/>
    <col min="9" max="11" width="12.69921875" bestFit="1" customWidth="1"/>
    <col min="12" max="12" width="9.3984375" bestFit="1" customWidth="1"/>
    <col min="13" max="13" width="15.796875" bestFit="1" customWidth="1"/>
    <col min="14" max="14" width="16.09765625" bestFit="1" customWidth="1"/>
    <col min="15" max="15" width="16.8984375" bestFit="1" customWidth="1"/>
    <col min="16" max="16" width="17.296875" bestFit="1" customWidth="1"/>
    <col min="17" max="17" width="11.8984375" bestFit="1" customWidth="1"/>
    <col min="18" max="18" width="10.296875" bestFit="1" customWidth="1"/>
    <col min="19" max="19" width="12.69921875" bestFit="1" customWidth="1"/>
    <col min="20" max="20" width="16.796875" bestFit="1" customWidth="1"/>
    <col min="21" max="23" width="12.8984375" bestFit="1" customWidth="1"/>
  </cols>
  <sheetData>
    <row r="1" spans="1:23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</row>
    <row r="2" spans="1:23" x14ac:dyDescent="0.3">
      <c r="A2" s="41">
        <v>0</v>
      </c>
      <c r="B2">
        <f>DATA!B2*0.8*(1-DATA!E2)</f>
        <v>48800</v>
      </c>
      <c r="C2">
        <f>DATA!B2*0.2</f>
        <v>20000</v>
      </c>
      <c r="D2">
        <f>B2+C2</f>
        <v>68800</v>
      </c>
      <c r="E2">
        <f>1</f>
        <v>1</v>
      </c>
      <c r="F2">
        <f>1</f>
        <v>1</v>
      </c>
      <c r="G2">
        <f>D2-20</f>
        <v>68780</v>
      </c>
      <c r="H2">
        <f>MAX(D2,$B$2+$C$2)</f>
        <v>68800</v>
      </c>
      <c r="M2">
        <f>B2</f>
        <v>48800</v>
      </c>
      <c r="N2">
        <f>C2</f>
        <v>20000</v>
      </c>
      <c r="Q2">
        <f>RATES!G3</f>
        <v>1</v>
      </c>
    </row>
    <row r="3" spans="1:23" x14ac:dyDescent="0.3">
      <c r="A3" s="5">
        <v>1</v>
      </c>
      <c r="B3">
        <f>B2*EXP(RATES!O4)*(1-DATA!$B$6)</f>
        <v>49403.505695999993</v>
      </c>
      <c r="C3">
        <f>C2*EXP(RATES!O4)*(1-DATA!$B$6)</f>
        <v>20247.338400000001</v>
      </c>
      <c r="D3">
        <f>B3+C3</f>
        <v>69650.844095999986</v>
      </c>
      <c r="E3">
        <f>E2*(1-'LIFE TABLE MALE'!D63/1000)</f>
        <v>0.99353212999999996</v>
      </c>
      <c r="F3">
        <f>F2*(1-0.15)</f>
        <v>0.85</v>
      </c>
      <c r="G3">
        <f t="shared" ref="G3:G52" si="0">D3-20</f>
        <v>69630.844095999986</v>
      </c>
      <c r="H3">
        <f t="shared" ref="H3:H52" si="1">MAX(D3,$B$2+$C$2)</f>
        <v>69650.844095999986</v>
      </c>
      <c r="I3">
        <f>G3*DATA!$B$7*F2*E3</f>
        <v>10377.072127259518</v>
      </c>
      <c r="J3">
        <f>H3*'LIFE TABLE MALE'!D63/1000*F2*E2</f>
        <v>450.49260500319542</v>
      </c>
      <c r="K3">
        <f>0</f>
        <v>0</v>
      </c>
      <c r="L3" s="43">
        <f>DATA!$B$8*((1+DATA!$B$9)^A2)*F3*E3</f>
        <v>42.225115525</v>
      </c>
      <c r="M3">
        <f>B2*EXP(RATES!O4)*(DATA!$B$12)</f>
        <v>707.20764799999995</v>
      </c>
      <c r="N3">
        <f>C2*EXP(RATES!O4)*(DATA!$B$12)</f>
        <v>289.83920000000001</v>
      </c>
      <c r="O3">
        <f>M3+N3</f>
        <v>997.04684799999995</v>
      </c>
      <c r="P3">
        <f>O3*E3*F3</f>
        <v>842.00836681274211</v>
      </c>
      <c r="Q3">
        <f>RATES!G4</f>
        <v>0.96605290105686192</v>
      </c>
      <c r="R3" s="43">
        <f>P3+L3+K3+J3+I3</f>
        <v>11711.798214600456</v>
      </c>
      <c r="S3">
        <f>R3*Q3</f>
        <v>11314.216641807347</v>
      </c>
      <c r="T3">
        <f>C2*EXP(RATES!O4)*(DATA!$B$6-DATA!$B$12)</f>
        <v>165.62239999999997</v>
      </c>
      <c r="U3">
        <f>B2*EXP(RATES!O4)*(DATA!$B$6-DATA!$B$12)</f>
        <v>404.11865599999987</v>
      </c>
      <c r="V3">
        <f>T3+U3</f>
        <v>569.74105599999984</v>
      </c>
      <c r="W3">
        <f>V3*E3*F3</f>
        <v>481.14763817870966</v>
      </c>
    </row>
    <row r="4" spans="1:23" x14ac:dyDescent="0.3">
      <c r="A4" s="5">
        <v>2</v>
      </c>
      <c r="B4">
        <f>B3*EXP(RATES!O5)*(1-DATA!$B$6)</f>
        <v>49552.672545384565</v>
      </c>
      <c r="C4">
        <f>C3*EXP(RATES!O5)*(1-DATA!$B$6)</f>
        <v>20308.472354665806</v>
      </c>
      <c r="D4">
        <f t="shared" ref="D4:D52" si="2">B4+C4</f>
        <v>69861.144900050364</v>
      </c>
      <c r="E4">
        <f>E3*(1-'LIFE TABLE MALE'!D64/1000)</f>
        <v>0.98647779355864618</v>
      </c>
      <c r="F4">
        <f t="shared" ref="F4:F52" si="3">F3*(1-0.15)</f>
        <v>0.72249999999999992</v>
      </c>
      <c r="G4">
        <f t="shared" si="0"/>
        <v>69841.144900050364</v>
      </c>
      <c r="H4">
        <f t="shared" si="1"/>
        <v>69861.144900050364</v>
      </c>
      <c r="I4">
        <f>G4*DATA!$B$7*F3*E4</f>
        <v>8784.3341613779503</v>
      </c>
      <c r="J4">
        <f>H4*'LIFE TABLE MALE'!D64/1000*F3*E3</f>
        <v>418.90041725765491</v>
      </c>
      <c r="K4">
        <f>0</f>
        <v>0</v>
      </c>
      <c r="L4" s="43">
        <f>DATA!$B$8*((1+DATA!$B$9)^A3)*F4*E4</f>
        <v>36.349240498152213</v>
      </c>
      <c r="M4">
        <f>B3*EXP(RATES!O5)*(DATA!$B$12)</f>
        <v>709.34296077237616</v>
      </c>
      <c r="N4">
        <f>C3*EXP(RATES!O5)*(DATA!$B$12)</f>
        <v>290.71432818540012</v>
      </c>
      <c r="O4">
        <f t="shared" ref="O4:O52" si="4">M4+N4</f>
        <v>1000.0572889577763</v>
      </c>
      <c r="P4">
        <f t="shared" ref="P4:P52" si="5">O4*E4*F4</f>
        <v>712.77103741679036</v>
      </c>
      <c r="Q4">
        <f>RATES!G5</f>
        <v>0.94195563634332236</v>
      </c>
      <c r="R4" s="43">
        <f t="shared" ref="R4:R52" si="6">P4+L4+K4+J4+I4</f>
        <v>9952.354856550548</v>
      </c>
      <c r="S4">
        <f t="shared" ref="S4:S52" si="7">R4*Q4</f>
        <v>9374.6767520166268</v>
      </c>
      <c r="T4">
        <f>C3*EXP(RATES!O5)*(DATA!$B$6-DATA!$B$12)</f>
        <v>166.12247324880002</v>
      </c>
      <c r="U4">
        <f>B3*EXP(RATES!O5)*(DATA!$B$6-DATA!$B$12)</f>
        <v>405.33883472707203</v>
      </c>
      <c r="V4">
        <f t="shared" ref="V4:V51" si="8">T4+U4</f>
        <v>571.46130797587205</v>
      </c>
      <c r="W4">
        <f t="shared" ref="W4:W52" si="9">V4*E4*F4</f>
        <v>407.29773566673731</v>
      </c>
    </row>
    <row r="5" spans="1:23" x14ac:dyDescent="0.3">
      <c r="A5" s="5">
        <v>3</v>
      </c>
      <c r="B5">
        <f>B4*EXP(RATES!O6)*(1-DATA!$B$6)</f>
        <v>49567.8697804244</v>
      </c>
      <c r="C5">
        <f>C4*EXP(RATES!O6)*(1-DATA!$B$6)</f>
        <v>20314.700729682132</v>
      </c>
      <c r="D5">
        <f t="shared" si="2"/>
        <v>69882.57051010654</v>
      </c>
      <c r="E5">
        <f>E4*(1-'LIFE TABLE MALE'!D65/1000)</f>
        <v>0.97876837095420599</v>
      </c>
      <c r="F5">
        <f t="shared" si="3"/>
        <v>0.61412499999999992</v>
      </c>
      <c r="G5">
        <f t="shared" si="0"/>
        <v>69862.57051010654</v>
      </c>
      <c r="H5">
        <f t="shared" si="1"/>
        <v>69882.57051010654</v>
      </c>
      <c r="I5">
        <f>G5*DATA!$B$7*F4*E5</f>
        <v>7410.6038553891531</v>
      </c>
      <c r="J5">
        <f>H5*'LIFE TABLE MALE'!D65/1000*F4*E4</f>
        <v>389.24995916970721</v>
      </c>
      <c r="K5">
        <f>0</f>
        <v>0</v>
      </c>
      <c r="L5" s="43">
        <f>DATA!$B$8*((1+DATA!$B$9)^A4)*F5*E5</f>
        <v>31.268500264753332</v>
      </c>
      <c r="M5">
        <f>B4*EXP(RATES!O6)*(DATA!$B$12)</f>
        <v>709.56050810423483</v>
      </c>
      <c r="N5">
        <f>C4*EXP(RATES!O6)*(DATA!$B$12)</f>
        <v>290.80348692796508</v>
      </c>
      <c r="O5">
        <f t="shared" si="4"/>
        <v>1000.3639950321999</v>
      </c>
      <c r="P5">
        <f t="shared" si="5"/>
        <v>601.30491817597169</v>
      </c>
      <c r="Q5">
        <f>RATES!G6</f>
        <v>0.92095016751412107</v>
      </c>
      <c r="R5" s="43">
        <f t="shared" si="6"/>
        <v>8432.4272329995856</v>
      </c>
      <c r="S5">
        <f t="shared" si="7"/>
        <v>7765.8452727816048</v>
      </c>
      <c r="T5">
        <f>C4*EXP(RATES!O6)*(DATA!$B$6-DATA!$B$12)</f>
        <v>166.17342110169432</v>
      </c>
      <c r="U5">
        <f>B4*EXP(RATES!O6)*(DATA!$B$6-DATA!$B$12)</f>
        <v>405.4631474881341</v>
      </c>
      <c r="V5">
        <f t="shared" si="8"/>
        <v>571.63656858982836</v>
      </c>
      <c r="W5">
        <f t="shared" si="9"/>
        <v>343.60281038626943</v>
      </c>
    </row>
    <row r="6" spans="1:23" x14ac:dyDescent="0.3">
      <c r="A6" s="5">
        <v>4</v>
      </c>
      <c r="B6">
        <f>B5*EXP(RATES!O7)*(1-DATA!$B$6)</f>
        <v>49543.996805332165</v>
      </c>
      <c r="C6">
        <f>C5*EXP(RATES!O7)*(1-DATA!$B$6)</f>
        <v>20304.916723496794</v>
      </c>
      <c r="D6">
        <f t="shared" si="2"/>
        <v>69848.913528828954</v>
      </c>
      <c r="E6">
        <f>E5*(1-'LIFE TABLE MALE'!D66/1000)</f>
        <v>0.97028747025977602</v>
      </c>
      <c r="F6">
        <f t="shared" si="3"/>
        <v>0.52200624999999989</v>
      </c>
      <c r="G6">
        <f t="shared" si="0"/>
        <v>69828.913528828954</v>
      </c>
      <c r="H6">
        <f t="shared" si="1"/>
        <v>69848.913528828954</v>
      </c>
      <c r="I6">
        <f>G6*DATA!$B$7*F5*E6</f>
        <v>6241.4248287498413</v>
      </c>
      <c r="J6">
        <f>H6*'LIFE TABLE MALE'!D66/1000*F5*E5</f>
        <v>363.79641105302665</v>
      </c>
      <c r="K6">
        <f>0</f>
        <v>0</v>
      </c>
      <c r="L6" s="43">
        <f>DATA!$B$8*((1+DATA!$B$9)^A5)*F6*E6</f>
        <v>26.874886925807328</v>
      </c>
      <c r="M6">
        <f>B5*EXP(RATES!O7)*(DATA!$B$12)</f>
        <v>709.21876817448913</v>
      </c>
      <c r="N6">
        <f>C5*EXP(RATES!O7)*(DATA!$B$12)</f>
        <v>290.66342957970869</v>
      </c>
      <c r="O6">
        <f t="shared" si="4"/>
        <v>999.88219775419782</v>
      </c>
      <c r="P6">
        <f t="shared" si="5"/>
        <v>506.43645739142164</v>
      </c>
      <c r="Q6">
        <f>RATES!G7</f>
        <v>0.90112326459071324</v>
      </c>
      <c r="R6" s="43">
        <f t="shared" si="6"/>
        <v>7138.5325841200965</v>
      </c>
      <c r="S6">
        <f t="shared" si="7"/>
        <v>6432.6977865894814</v>
      </c>
      <c r="T6">
        <f>C5*EXP(RATES!O7)*(DATA!$B$6-DATA!$B$12)</f>
        <v>166.09338833126208</v>
      </c>
      <c r="U6">
        <f>B5*EXP(RATES!O7)*(DATA!$B$6-DATA!$B$12)</f>
        <v>405.2678675282794</v>
      </c>
      <c r="V6">
        <f t="shared" si="8"/>
        <v>571.36125585954142</v>
      </c>
      <c r="W6">
        <f t="shared" si="9"/>
        <v>289.3922613665265</v>
      </c>
    </row>
    <row r="7" spans="1:23" x14ac:dyDescent="0.3">
      <c r="A7" s="6">
        <v>5</v>
      </c>
      <c r="B7">
        <f>B6*EXP(RATES!O8)*(1-DATA!$B$6)</f>
        <v>49518.929164153567</v>
      </c>
      <c r="C7">
        <f>C6*EXP(RATES!O8)*(1-DATA!$B$6)</f>
        <v>20294.643100062942</v>
      </c>
      <c r="D7">
        <f t="shared" si="2"/>
        <v>69813.572264216506</v>
      </c>
      <c r="E7">
        <f>E6*(1-'LIFE TABLE MALE'!D67/1000)</f>
        <v>0.9609215763955995</v>
      </c>
      <c r="F7">
        <f t="shared" si="3"/>
        <v>0.44370531249999989</v>
      </c>
      <c r="G7">
        <f t="shared" si="0"/>
        <v>69793.572264216506</v>
      </c>
      <c r="H7">
        <f t="shared" si="1"/>
        <v>69813.572264216506</v>
      </c>
      <c r="I7">
        <f>G7*DATA!$B$7*F6*E7</f>
        <v>5251.3423789879289</v>
      </c>
      <c r="J7">
        <f>H7*'LIFE TABLE MALE'!D67/1000*F6*E6</f>
        <v>341.32240389683574</v>
      </c>
      <c r="K7">
        <f>0</f>
        <v>0</v>
      </c>
      <c r="L7" s="43">
        <f>DATA!$B$8*((1+DATA!$B$9)^A6)*F7*E7</f>
        <v>23.075613968043037</v>
      </c>
      <c r="M7">
        <f>B6*EXP(RATES!O8)*(DATA!$B$12)</f>
        <v>708.85992668522488</v>
      </c>
      <c r="N7">
        <f>C6*EXP(RATES!O8)*(DATA!$B$12)</f>
        <v>290.51636339558405</v>
      </c>
      <c r="O7">
        <f t="shared" si="4"/>
        <v>999.37629008080899</v>
      </c>
      <c r="P7">
        <f t="shared" si="5"/>
        <v>426.10007963399283</v>
      </c>
      <c r="Q7">
        <f>RATES!G8</f>
        <v>0.88174468672828554</v>
      </c>
      <c r="R7" s="43">
        <f t="shared" si="6"/>
        <v>6041.840476486801</v>
      </c>
      <c r="S7">
        <f t="shared" si="7"/>
        <v>5327.3607382021301</v>
      </c>
      <c r="T7">
        <f>C6*EXP(RATES!O8)*(DATA!$B$6-DATA!$B$12)</f>
        <v>166.00935051176228</v>
      </c>
      <c r="U7">
        <f>B6*EXP(RATES!O8)*(DATA!$B$6-DATA!$B$12)</f>
        <v>405.06281524869985</v>
      </c>
      <c r="V7">
        <f t="shared" si="8"/>
        <v>571.0721657604621</v>
      </c>
      <c r="W7">
        <f t="shared" si="9"/>
        <v>243.48575979085297</v>
      </c>
    </row>
    <row r="8" spans="1:23" x14ac:dyDescent="0.3">
      <c r="A8" s="5">
        <v>6</v>
      </c>
      <c r="B8">
        <f>B7*EXP(RATES!O9)*(1-DATA!$B$6)</f>
        <v>49527.566162822914</v>
      </c>
      <c r="C8">
        <f>C7*EXP(RATES!O9)*(1-DATA!$B$6)</f>
        <v>20298.182853615956</v>
      </c>
      <c r="D8">
        <f t="shared" si="2"/>
        <v>69825.749016438873</v>
      </c>
      <c r="E8">
        <f>E7*(1-'LIFE TABLE MALE'!D68/1000)</f>
        <v>0.95054816852958335</v>
      </c>
      <c r="F8">
        <f t="shared" si="3"/>
        <v>0.37714951562499988</v>
      </c>
      <c r="G8">
        <f t="shared" si="0"/>
        <v>69805.749016438873</v>
      </c>
      <c r="H8">
        <f t="shared" si="1"/>
        <v>69825.749016438873</v>
      </c>
      <c r="I8">
        <f>G8*DATA!$B$7*F7*E8</f>
        <v>4416.2251681519092</v>
      </c>
      <c r="J8">
        <f>H8*'LIFE TABLE MALE'!D68/1000*F7*E7</f>
        <v>321.38950121540256</v>
      </c>
      <c r="K8">
        <f>0</f>
        <v>0</v>
      </c>
      <c r="L8" s="43">
        <f>DATA!$B$8*((1+DATA!$B$9)^A7)*F8*E8</f>
        <v>19.790581122358219</v>
      </c>
      <c r="M8">
        <f>B7*EXP(RATES!O9)*(DATA!$B$12)</f>
        <v>708.98356470298654</v>
      </c>
      <c r="N8">
        <f>C7*EXP(RATES!O9)*(DATA!$B$12)</f>
        <v>290.56703471433883</v>
      </c>
      <c r="O8">
        <f t="shared" si="4"/>
        <v>999.55059941732543</v>
      </c>
      <c r="P8">
        <f t="shared" si="5"/>
        <v>358.33767177794118</v>
      </c>
      <c r="Q8">
        <f>RATES!G9</f>
        <v>0.86219592102620646</v>
      </c>
      <c r="R8" s="43">
        <f t="shared" si="6"/>
        <v>5115.742922267611</v>
      </c>
      <c r="S8">
        <f t="shared" si="7"/>
        <v>4410.77268059782</v>
      </c>
      <c r="T8">
        <f>C7*EXP(RATES!O9)*(DATA!$B$6-DATA!$B$12)</f>
        <v>166.03830555105071</v>
      </c>
      <c r="U8">
        <f>B7*EXP(RATES!O9)*(DATA!$B$6-DATA!$B$12)</f>
        <v>405.13346554456365</v>
      </c>
      <c r="V8">
        <f t="shared" si="8"/>
        <v>571.1717710956143</v>
      </c>
      <c r="W8">
        <f t="shared" si="9"/>
        <v>204.76438387310915</v>
      </c>
    </row>
    <row r="9" spans="1:23" x14ac:dyDescent="0.3">
      <c r="A9" s="5">
        <v>7</v>
      </c>
      <c r="B9">
        <f>B8*EXP(RATES!O10)*(1-DATA!$B$6)</f>
        <v>49565.173027428791</v>
      </c>
      <c r="C9">
        <f>C8*EXP(RATES!O10)*(1-DATA!$B$6)</f>
        <v>20313.595503044595</v>
      </c>
      <c r="D9">
        <f t="shared" si="2"/>
        <v>69878.76853047339</v>
      </c>
      <c r="E9">
        <f>E8*(1-'LIFE TABLE MALE'!D69/1000)</f>
        <v>0.93939989246654454</v>
      </c>
      <c r="F9">
        <f t="shared" si="3"/>
        <v>0.32057708828124987</v>
      </c>
      <c r="G9">
        <f t="shared" si="0"/>
        <v>69858.76853047339</v>
      </c>
      <c r="H9">
        <f t="shared" si="1"/>
        <v>69878.76853047339</v>
      </c>
      <c r="I9">
        <f>G9*DATA!$B$7*F8*E9</f>
        <v>3712.5836275481715</v>
      </c>
      <c r="J9">
        <f>H9*'LIFE TABLE MALE'!D69/1000*F8*E8</f>
        <v>293.80995837992111</v>
      </c>
      <c r="K9">
        <f>0</f>
        <v>0</v>
      </c>
      <c r="L9" s="43">
        <f>DATA!$B$8*((1+DATA!$B$9)^A8)*F9*E9</f>
        <v>16.957195259897361</v>
      </c>
      <c r="M9">
        <f>B8*EXP(RATES!O10)*(DATA!$B$12)</f>
        <v>709.52190427812184</v>
      </c>
      <c r="N9">
        <f>C8*EXP(RATES!O10)*(DATA!$B$12)</f>
        <v>290.78766568775495</v>
      </c>
      <c r="O9">
        <f t="shared" si="4"/>
        <v>1000.3095699658768</v>
      </c>
      <c r="P9">
        <f t="shared" si="5"/>
        <v>301.24330927933272</v>
      </c>
      <c r="Q9">
        <f>RATES!G10</f>
        <v>0.84258782390013232</v>
      </c>
      <c r="R9" s="43">
        <f t="shared" si="6"/>
        <v>4324.5940904673225</v>
      </c>
      <c r="S9">
        <f t="shared" si="7"/>
        <v>3643.850323938233</v>
      </c>
      <c r="T9">
        <f>C8*EXP(RATES!O10)*(DATA!$B$6-DATA!$B$12)</f>
        <v>166.1643803930028</v>
      </c>
      <c r="U9">
        <f>B8*EXP(RATES!O10)*(DATA!$B$6-DATA!$B$12)</f>
        <v>405.44108815892668</v>
      </c>
      <c r="V9">
        <f t="shared" si="8"/>
        <v>571.60546855192945</v>
      </c>
      <c r="W9">
        <f t="shared" si="9"/>
        <v>172.13903387390437</v>
      </c>
    </row>
    <row r="10" spans="1:23" x14ac:dyDescent="0.3">
      <c r="A10" s="5">
        <v>8</v>
      </c>
      <c r="B10">
        <f>B9*EXP(RATES!O11)*(1-DATA!$B$6)</f>
        <v>49632.816763641662</v>
      </c>
      <c r="C10">
        <f>C9*EXP(RATES!O11)*(1-DATA!$B$6)</f>
        <v>20341.318345754789</v>
      </c>
      <c r="D10">
        <f t="shared" si="2"/>
        <v>69974.135109396448</v>
      </c>
      <c r="E10">
        <f>E9*(1-'LIFE TABLE MALE'!D70/1000)</f>
        <v>0.9273775090067512</v>
      </c>
      <c r="F10">
        <f t="shared" si="3"/>
        <v>0.2724905250390624</v>
      </c>
      <c r="G10">
        <f t="shared" si="0"/>
        <v>69954.135109396448</v>
      </c>
      <c r="H10">
        <f t="shared" si="1"/>
        <v>69974.135109396448</v>
      </c>
      <c r="I10">
        <f>G10*DATA!$B$7*F9*E10</f>
        <v>3119.5624893857089</v>
      </c>
      <c r="J10">
        <f>H10*'LIFE TABLE MALE'!D70/1000*F9*E9</f>
        <v>269.68736196932338</v>
      </c>
      <c r="K10">
        <f>0</f>
        <v>0</v>
      </c>
      <c r="L10" s="43">
        <f>DATA!$B$8*((1+DATA!$B$9)^A9)*F10*E10</f>
        <v>14.51373440610465</v>
      </c>
      <c r="M10">
        <f>B9*EXP(RATES!O11)*(DATA!$B$12)</f>
        <v>710.49021952043279</v>
      </c>
      <c r="N10">
        <f>C9*EXP(RATES!O11)*(DATA!$B$12)</f>
        <v>291.18451619689881</v>
      </c>
      <c r="O10">
        <f t="shared" si="4"/>
        <v>1001.6747357173316</v>
      </c>
      <c r="P10">
        <f t="shared" si="5"/>
        <v>253.1247927077857</v>
      </c>
      <c r="Q10">
        <f>RATES!G11</f>
        <v>0.82292780659029441</v>
      </c>
      <c r="R10" s="43">
        <f t="shared" si="6"/>
        <v>3656.8883784689224</v>
      </c>
      <c r="S10">
        <f t="shared" si="7"/>
        <v>3009.3551322389685</v>
      </c>
      <c r="T10">
        <f>C9*EXP(RATES!O11)*(DATA!$B$6-DATA!$B$12)</f>
        <v>166.39115211251357</v>
      </c>
      <c r="U10">
        <f>B9*EXP(RATES!O11)*(DATA!$B$6-DATA!$B$12)</f>
        <v>405.99441115453294</v>
      </c>
      <c r="V10">
        <f t="shared" si="8"/>
        <v>572.38556326704656</v>
      </c>
      <c r="W10">
        <f t="shared" si="9"/>
        <v>144.64273869016324</v>
      </c>
    </row>
    <row r="11" spans="1:23" x14ac:dyDescent="0.3">
      <c r="A11" s="5">
        <v>9</v>
      </c>
      <c r="B11">
        <f>B10*EXP(RATES!O12)*(1-DATA!$B$6)</f>
        <v>49729.176581554908</v>
      </c>
      <c r="C11">
        <f>C10*EXP(RATES!O12)*(1-DATA!$B$6)</f>
        <v>20380.81007440776</v>
      </c>
      <c r="D11">
        <f t="shared" si="2"/>
        <v>70109.986655962668</v>
      </c>
      <c r="E11">
        <f>E10*(1-'LIFE TABLE MALE'!D71/1000)</f>
        <v>0.91441741759215689</v>
      </c>
      <c r="F11">
        <f t="shared" si="3"/>
        <v>0.23161694628320303</v>
      </c>
      <c r="G11">
        <f t="shared" si="0"/>
        <v>70089.986655962668</v>
      </c>
      <c r="H11">
        <f t="shared" si="1"/>
        <v>70109.986655962668</v>
      </c>
      <c r="I11">
        <f>G11*DATA!$B$7*F10*E11</f>
        <v>2619.6491607275789</v>
      </c>
      <c r="J11">
        <f>H11*'LIFE TABLE MALE'!D71/1000*F10*E10</f>
        <v>247.59356609624922</v>
      </c>
      <c r="K11">
        <f>0</f>
        <v>0</v>
      </c>
      <c r="L11" s="43">
        <f>DATA!$B$8*((1+DATA!$B$9)^A10)*F11*E11</f>
        <v>12.407554732898763</v>
      </c>
      <c r="M11">
        <f>B10*EXP(RATES!O12)*(DATA!$B$12)</f>
        <v>711.86960341694146</v>
      </c>
      <c r="N11">
        <f>C10*EXP(RATES!O12)*(DATA!$B$12)</f>
        <v>291.74983746595973</v>
      </c>
      <c r="O11">
        <f t="shared" si="4"/>
        <v>1003.6194408829012</v>
      </c>
      <c r="P11">
        <f t="shared" si="5"/>
        <v>212.56114781590733</v>
      </c>
      <c r="Q11">
        <f>RATES!G12</f>
        <v>0.80326389514893892</v>
      </c>
      <c r="R11" s="43">
        <f t="shared" si="6"/>
        <v>3092.211429372634</v>
      </c>
      <c r="S11">
        <f t="shared" si="7"/>
        <v>2483.86179738193</v>
      </c>
      <c r="T11">
        <f>C10*EXP(RATES!O12)*(DATA!$B$6-DATA!$B$12)</f>
        <v>166.71419283769126</v>
      </c>
      <c r="U11">
        <f>B10*EXP(RATES!O12)*(DATA!$B$6-DATA!$B$12)</f>
        <v>406.78263052396642</v>
      </c>
      <c r="V11">
        <f t="shared" si="8"/>
        <v>573.49682336165768</v>
      </c>
      <c r="W11">
        <f t="shared" si="9"/>
        <v>121.46351303766129</v>
      </c>
    </row>
    <row r="12" spans="1:23" x14ac:dyDescent="0.3">
      <c r="A12" s="6">
        <v>10</v>
      </c>
      <c r="B12">
        <f>B11*EXP(RATES!O13)*(1-DATA!$B$6)</f>
        <v>49862.693187132129</v>
      </c>
      <c r="C12">
        <f>C11*EXP(RATES!O13)*(1-DATA!$B$6)</f>
        <v>20435.529994726294</v>
      </c>
      <c r="D12">
        <f t="shared" si="2"/>
        <v>70298.223181858426</v>
      </c>
      <c r="E12">
        <f>E11*(1-'LIFE TABLE MALE'!D72/1000)</f>
        <v>0.90009759511179277</v>
      </c>
      <c r="F12">
        <f t="shared" si="3"/>
        <v>0.19687440434072256</v>
      </c>
      <c r="G12">
        <f t="shared" si="0"/>
        <v>70278.223181858426</v>
      </c>
      <c r="H12">
        <f t="shared" si="1"/>
        <v>70298.223181858426</v>
      </c>
      <c r="I12">
        <f>G12*DATA!$B$7*F11*E12</f>
        <v>2197.7179974153587</v>
      </c>
      <c r="J12">
        <f>H12*'LIFE TABLE MALE'!D72/1000*F11*E11</f>
        <v>233.15906966481626</v>
      </c>
      <c r="K12">
        <f>0</f>
        <v>0</v>
      </c>
      <c r="L12" s="43">
        <f>DATA!$B$8*((1+DATA!$B$9)^A11)*F12*E12</f>
        <v>10.588889315285121</v>
      </c>
      <c r="M12">
        <f>B11*EXP(RATES!O13)*(DATA!$B$12)</f>
        <v>713.78088406937604</v>
      </c>
      <c r="N12">
        <f>C11*EXP(RATES!O13)*(DATA!$B$12)</f>
        <v>292.53314920876085</v>
      </c>
      <c r="O12">
        <f t="shared" si="4"/>
        <v>1006.3140332781369</v>
      </c>
      <c r="P12">
        <f t="shared" si="5"/>
        <v>178.32506359041568</v>
      </c>
      <c r="Q12">
        <f>RATES!G13</f>
        <v>0.78348852098697186</v>
      </c>
      <c r="R12" s="43">
        <f t="shared" si="6"/>
        <v>2619.7910199858757</v>
      </c>
      <c r="S12">
        <f t="shared" si="7"/>
        <v>2052.5761915436842</v>
      </c>
      <c r="T12">
        <f>C11*EXP(RATES!O13)*(DATA!$B$6-DATA!$B$12)</f>
        <v>167.1617995478633</v>
      </c>
      <c r="U12">
        <f>B11*EXP(RATES!O13)*(DATA!$B$6-DATA!$B$12)</f>
        <v>407.87479089678624</v>
      </c>
      <c r="V12">
        <f t="shared" si="8"/>
        <v>575.03659044464951</v>
      </c>
      <c r="W12">
        <f t="shared" si="9"/>
        <v>101.90003633738036</v>
      </c>
    </row>
    <row r="13" spans="1:23" x14ac:dyDescent="0.3">
      <c r="A13" s="5">
        <v>11</v>
      </c>
      <c r="B13">
        <f>B12*EXP(RATES!O14)*(1-DATA!$B$6)</f>
        <v>50061.494638661818</v>
      </c>
      <c r="C13">
        <f>C12*EXP(RATES!O14)*(1-DATA!$B$6)</f>
        <v>20517.005999451576</v>
      </c>
      <c r="D13">
        <f t="shared" si="2"/>
        <v>70578.500638113386</v>
      </c>
      <c r="E13">
        <f>E12*(1-'LIFE TABLE MALE'!D73/1000)</f>
        <v>0.88436966777579928</v>
      </c>
      <c r="F13">
        <f t="shared" si="3"/>
        <v>0.16734324368961417</v>
      </c>
      <c r="G13">
        <f t="shared" si="0"/>
        <v>70558.500638113386</v>
      </c>
      <c r="H13">
        <f t="shared" si="1"/>
        <v>70578.500638113386</v>
      </c>
      <c r="I13">
        <f>G13*DATA!$B$7*F12*E13</f>
        <v>1842.7384524860474</v>
      </c>
      <c r="J13">
        <f>H13*'LIFE TABLE MALE'!D73/1000*F12*E12</f>
        <v>218.54112741049181</v>
      </c>
      <c r="K13">
        <f>0</f>
        <v>0</v>
      </c>
      <c r="L13" s="43">
        <f>DATA!$B$8*((1+DATA!$B$9)^A12)*F13*E13</f>
        <v>9.0201496637971381</v>
      </c>
      <c r="M13">
        <f>B12*EXP(RATES!O14)*(DATA!$B$12)</f>
        <v>716.62671261888079</v>
      </c>
      <c r="N13">
        <f>C12*EXP(RATES!O14)*(DATA!$B$12)</f>
        <v>293.69947238478738</v>
      </c>
      <c r="O13">
        <f t="shared" si="4"/>
        <v>1010.3261850036681</v>
      </c>
      <c r="P13">
        <f t="shared" si="5"/>
        <v>149.52149490603045</v>
      </c>
      <c r="Q13">
        <f>RATES!G14</f>
        <v>0.76320887666583526</v>
      </c>
      <c r="R13" s="43">
        <f t="shared" si="6"/>
        <v>2219.8212244663669</v>
      </c>
      <c r="S13">
        <f t="shared" si="7"/>
        <v>1694.1872631239548</v>
      </c>
      <c r="T13">
        <f>C12*EXP(RATES!O14)*(DATA!$B$6-DATA!$B$12)</f>
        <v>167.82826993416418</v>
      </c>
      <c r="U13">
        <f>B12*EXP(RATES!O14)*(DATA!$B$6-DATA!$B$12)</f>
        <v>409.50097863936037</v>
      </c>
      <c r="V13">
        <f t="shared" si="8"/>
        <v>577.32924857352452</v>
      </c>
      <c r="W13">
        <f t="shared" si="9"/>
        <v>85.440854232017386</v>
      </c>
    </row>
    <row r="14" spans="1:23" x14ac:dyDescent="0.3">
      <c r="A14" s="5">
        <v>12</v>
      </c>
      <c r="B14">
        <f>B13*EXP(RATES!O15)*(1-DATA!$B$6)</f>
        <v>50177.780482098169</v>
      </c>
      <c r="C14">
        <f>C13*EXP(RATES!O15)*(1-DATA!$B$6)</f>
        <v>20564.66413200746</v>
      </c>
      <c r="D14">
        <f t="shared" si="2"/>
        <v>70742.444614105625</v>
      </c>
      <c r="E14">
        <f>E13*(1-'LIFE TABLE MALE'!D74/1000)</f>
        <v>0.86691443914546784</v>
      </c>
      <c r="F14">
        <f t="shared" si="3"/>
        <v>0.14224175713617204</v>
      </c>
      <c r="G14">
        <f t="shared" si="0"/>
        <v>70722.444614105625</v>
      </c>
      <c r="H14">
        <f t="shared" si="1"/>
        <v>70742.444614105625</v>
      </c>
      <c r="I14">
        <f>G14*DATA!$B$7*F13*E14</f>
        <v>1538.9798820816093</v>
      </c>
      <c r="J14">
        <f>H14*'LIFE TABLE MALE'!D74/1000*F13*E13</f>
        <v>206.63971202545957</v>
      </c>
      <c r="K14">
        <f>0</f>
        <v>0</v>
      </c>
      <c r="L14" s="43">
        <f>DATA!$B$8*((1+DATA!$B$9)^A13)*F14*E14</f>
        <v>7.6661133930628793</v>
      </c>
      <c r="M14">
        <f>B13*EXP(RATES!O15)*(DATA!$B$12)</f>
        <v>718.29133614455463</v>
      </c>
      <c r="N14">
        <f>C13*EXP(RATES!O15)*(DATA!$B$12)</f>
        <v>294.38169514121108</v>
      </c>
      <c r="O14">
        <f t="shared" si="4"/>
        <v>1012.6730312857658</v>
      </c>
      <c r="P14">
        <f t="shared" si="5"/>
        <v>124.87416276047584</v>
      </c>
      <c r="Q14">
        <f>RATES!G15</f>
        <v>0.74468847430975171</v>
      </c>
      <c r="R14" s="44">
        <f t="shared" si="6"/>
        <v>1878.1598702606075</v>
      </c>
      <c r="S14">
        <f t="shared" si="7"/>
        <v>1398.6440082941731</v>
      </c>
      <c r="T14">
        <f>C13*EXP(RATES!O15)*(DATA!$B$6-DATA!$B$12)</f>
        <v>168.21811150926345</v>
      </c>
      <c r="U14">
        <f>B13*EXP(RATES!O15)*(DATA!$B$6-DATA!$B$12)</f>
        <v>410.45219208260255</v>
      </c>
      <c r="V14">
        <f t="shared" si="8"/>
        <v>578.67030359186606</v>
      </c>
      <c r="W14">
        <f t="shared" si="9"/>
        <v>71.356664434557615</v>
      </c>
    </row>
    <row r="15" spans="1:23" x14ac:dyDescent="0.3">
      <c r="A15" s="5">
        <v>13</v>
      </c>
      <c r="B15">
        <f>B14*EXP(RATES!O16)*(1-DATA!$B$6)</f>
        <v>50326.243795180497</v>
      </c>
      <c r="C15">
        <f>C14*EXP(RATES!O16)*(1-DATA!$B$6)</f>
        <v>20625.509752123166</v>
      </c>
      <c r="D15">
        <f t="shared" si="2"/>
        <v>70951.75354730367</v>
      </c>
      <c r="E15">
        <f>E14*(1-'LIFE TABLE MALE'!D75/1000)</f>
        <v>0.84808352308867097</v>
      </c>
      <c r="F15">
        <f t="shared" si="3"/>
        <v>0.12090549356574623</v>
      </c>
      <c r="G15">
        <f t="shared" si="0"/>
        <v>70931.75354730367</v>
      </c>
      <c r="H15">
        <f t="shared" si="1"/>
        <v>70951.75354730367</v>
      </c>
      <c r="I15">
        <f>G15*DATA!$B$7*F14*E15</f>
        <v>1283.5053690347197</v>
      </c>
      <c r="J15">
        <f>H15*'LIFE TABLE MALE'!D75/1000*F14*E14</f>
        <v>190.04729359829383</v>
      </c>
      <c r="K15">
        <f>0</f>
        <v>0</v>
      </c>
      <c r="L15" s="43">
        <f>DATA!$B$8*((1+DATA!$B$9)^A14)*F15*E15</f>
        <v>6.5021461262725833</v>
      </c>
      <c r="M15">
        <f>B14*EXP(RATES!O16)*(DATA!$B$12)</f>
        <v>720.4165778451196</v>
      </c>
      <c r="N15">
        <f>C14*EXP(RATES!O16)*(DATA!$B$12)</f>
        <v>295.25269583816396</v>
      </c>
      <c r="O15">
        <f t="shared" si="4"/>
        <v>1015.6692736832836</v>
      </c>
      <c r="P15">
        <f t="shared" si="5"/>
        <v>104.14465225429318</v>
      </c>
      <c r="Q15">
        <f>RATES!G16</f>
        <v>0.72615681422166556</v>
      </c>
      <c r="R15" s="44">
        <f t="shared" si="6"/>
        <v>1584.1994610135794</v>
      </c>
      <c r="S15">
        <f t="shared" si="7"/>
        <v>1150.3772337013004</v>
      </c>
      <c r="T15">
        <f>C14*EXP(RATES!O16)*(DATA!$B$6-DATA!$B$12)</f>
        <v>168.7158261932365</v>
      </c>
      <c r="U15">
        <f>B14*EXP(RATES!O16)*(DATA!$B$6-DATA!$B$12)</f>
        <v>411.66661591149682</v>
      </c>
      <c r="V15">
        <f t="shared" si="8"/>
        <v>580.38244210473329</v>
      </c>
      <c r="W15">
        <f t="shared" si="9"/>
        <v>59.511229859596085</v>
      </c>
    </row>
    <row r="16" spans="1:23" x14ac:dyDescent="0.3">
      <c r="A16" s="5">
        <v>14</v>
      </c>
      <c r="B16">
        <f>B15*EXP(RATES!O17)*(1-DATA!$B$6)</f>
        <v>50493.861671283841</v>
      </c>
      <c r="C16">
        <f>C15*EXP(RATES!O17)*(1-DATA!$B$6)</f>
        <v>20694.205602985192</v>
      </c>
      <c r="D16">
        <f t="shared" si="2"/>
        <v>71188.067274269037</v>
      </c>
      <c r="E16">
        <f>E15*(1-'LIFE TABLE MALE'!D76/1000)</f>
        <v>0.82779649169036118</v>
      </c>
      <c r="F16">
        <f t="shared" si="3"/>
        <v>0.10276966953088429</v>
      </c>
      <c r="G16">
        <f t="shared" si="0"/>
        <v>71168.067274269037</v>
      </c>
      <c r="H16">
        <f t="shared" si="1"/>
        <v>71188.067274269037</v>
      </c>
      <c r="I16">
        <f>G16*DATA!$B$7*F15*E16</f>
        <v>1068.4299327949482</v>
      </c>
      <c r="J16">
        <f>H16*'LIFE TABLE MALE'!D76/1000*F15*E15</f>
        <v>174.61105559549415</v>
      </c>
      <c r="K16">
        <f>0</f>
        <v>0</v>
      </c>
      <c r="L16" s="43">
        <f>DATA!$B$8*((1+DATA!$B$9)^A15)*F16*E16</f>
        <v>5.5025092172566552</v>
      </c>
      <c r="M16">
        <f>B15*EXP(RATES!O17)*(DATA!$B$12)</f>
        <v>722.81601574434956</v>
      </c>
      <c r="N16">
        <f>C15*EXP(RATES!O17)*(DATA!$B$12)</f>
        <v>296.23607202637288</v>
      </c>
      <c r="O16">
        <f t="shared" si="4"/>
        <v>1019.0520877707224</v>
      </c>
      <c r="P16">
        <f t="shared" si="5"/>
        <v>86.693178185952661</v>
      </c>
      <c r="Q16">
        <f>RATES!G17</f>
        <v>0.70782386801134656</v>
      </c>
      <c r="R16" s="44">
        <f t="shared" si="6"/>
        <v>1335.2366757936516</v>
      </c>
      <c r="S16">
        <f t="shared" si="7"/>
        <v>945.11238857087471</v>
      </c>
      <c r="T16">
        <f>C15*EXP(RATES!O17)*(DATA!$B$6-DATA!$B$12)</f>
        <v>169.27775544364161</v>
      </c>
      <c r="U16">
        <f>B15*EXP(RATES!O17)*(DATA!$B$6-DATA!$B$12)</f>
        <v>413.03772328248539</v>
      </c>
      <c r="V16">
        <f t="shared" si="8"/>
        <v>582.31547872612703</v>
      </c>
      <c r="W16">
        <f t="shared" si="9"/>
        <v>49.538958963401512</v>
      </c>
    </row>
    <row r="17" spans="1:23" x14ac:dyDescent="0.3">
      <c r="A17" s="6">
        <v>15</v>
      </c>
      <c r="B17">
        <f>B16*EXP(RATES!O18)*(1-DATA!$B$6)</f>
        <v>50609.670858762256</v>
      </c>
      <c r="C17">
        <f>C16*EXP(RATES!O18)*(1-DATA!$B$6)</f>
        <v>20741.668384738641</v>
      </c>
      <c r="D17">
        <f t="shared" si="2"/>
        <v>71351.339243500901</v>
      </c>
      <c r="E17">
        <f>E16*(1-'LIFE TABLE MALE'!D77/1000)</f>
        <v>0.80629125769035137</v>
      </c>
      <c r="F17">
        <f t="shared" si="3"/>
        <v>8.7354219101251643E-2</v>
      </c>
      <c r="G17">
        <f t="shared" si="0"/>
        <v>71331.339243500901</v>
      </c>
      <c r="H17">
        <f t="shared" si="1"/>
        <v>71351.339243500901</v>
      </c>
      <c r="I17">
        <f>G17*DATA!$B$7*F16*E17</f>
        <v>886.60167602738954</v>
      </c>
      <c r="J17">
        <f>H17*'LIFE TABLE MALE'!D77/1000*F16*E16</f>
        <v>157.69258105694988</v>
      </c>
      <c r="K17">
        <f>0</f>
        <v>0</v>
      </c>
      <c r="L17" s="43">
        <f>DATA!$B$8*((1+DATA!$B$9)^A16)*F17*E17</f>
        <v>4.6467386375457433</v>
      </c>
      <c r="M17">
        <f>B16*EXP(RATES!O18)*(DATA!$B$12)</f>
        <v>724.47381597410185</v>
      </c>
      <c r="N17">
        <f>C16*EXP(RATES!O18)*(DATA!$B$12)</f>
        <v>296.9154983500419</v>
      </c>
      <c r="O17">
        <f t="shared" si="4"/>
        <v>1021.3893143241437</v>
      </c>
      <c r="P17">
        <f t="shared" si="5"/>
        <v>71.939455544237561</v>
      </c>
      <c r="Q17">
        <f>RATES!G18</f>
        <v>0.6906676758678868</v>
      </c>
      <c r="R17" s="44">
        <f t="shared" si="6"/>
        <v>1120.8804512661227</v>
      </c>
      <c r="S17">
        <f t="shared" si="7"/>
        <v>774.15589620172113</v>
      </c>
      <c r="T17">
        <f>C16*EXP(RATES!O18)*(DATA!$B$6-DATA!$B$12)</f>
        <v>169.66599905716677</v>
      </c>
      <c r="U17">
        <f>B16*EXP(RATES!O18)*(DATA!$B$6-DATA!$B$12)</f>
        <v>413.98503769948667</v>
      </c>
      <c r="V17">
        <f t="shared" si="8"/>
        <v>583.65103675665341</v>
      </c>
      <c r="W17">
        <f t="shared" si="9"/>
        <v>41.108260310992883</v>
      </c>
    </row>
    <row r="18" spans="1:23" x14ac:dyDescent="0.3">
      <c r="A18" s="5">
        <v>16</v>
      </c>
      <c r="B18">
        <f>B17*EXP(RATES!O19)*(1-DATA!$B$6)</f>
        <v>50637.725211155506</v>
      </c>
      <c r="C18">
        <f>C17*EXP(RATES!O19)*(1-DATA!$B$6)</f>
        <v>20753.166070145711</v>
      </c>
      <c r="D18">
        <f t="shared" si="2"/>
        <v>71390.891281301214</v>
      </c>
      <c r="E18">
        <f>E17*(1-'LIFE TABLE MALE'!D78/1000)</f>
        <v>0.78272955654492149</v>
      </c>
      <c r="F18">
        <f t="shared" si="3"/>
        <v>7.4251086236063898E-2</v>
      </c>
      <c r="G18">
        <f t="shared" si="0"/>
        <v>71370.891281301214</v>
      </c>
      <c r="H18">
        <f t="shared" si="1"/>
        <v>71390.891281301214</v>
      </c>
      <c r="I18">
        <f>G18*DATA!$B$7*F17*E18</f>
        <v>731.99480439824742</v>
      </c>
      <c r="J18">
        <f>H18*'LIFE TABLE MALE'!D78/1000*F17*E17</f>
        <v>146.93773221149857</v>
      </c>
      <c r="K18">
        <f>0</f>
        <v>0</v>
      </c>
      <c r="L18" s="43">
        <f>DATA!$B$8*((1+DATA!$B$9)^A17)*F18*E18</f>
        <v>3.9109937836246558</v>
      </c>
      <c r="M18">
        <f>B17*EXP(RATES!O19)*(DATA!$B$12)</f>
        <v>724.87541202063107</v>
      </c>
      <c r="N18">
        <f>C17*EXP(RATES!O19)*(DATA!$B$12)</f>
        <v>297.08008689370138</v>
      </c>
      <c r="O18">
        <f t="shared" si="4"/>
        <v>1021.9554989143325</v>
      </c>
      <c r="P18">
        <f t="shared" si="5"/>
        <v>59.394540900960145</v>
      </c>
      <c r="Q18">
        <f>RATES!G19</f>
        <v>0.67509876092267374</v>
      </c>
      <c r="R18" s="44">
        <f t="shared" si="6"/>
        <v>942.23807129433078</v>
      </c>
      <c r="S18">
        <f t="shared" si="7"/>
        <v>636.10375442497264</v>
      </c>
      <c r="T18">
        <f>C17*EXP(RATES!O19)*(DATA!$B$6-DATA!$B$12)</f>
        <v>169.76004965354363</v>
      </c>
      <c r="U18">
        <f>B17*EXP(RATES!O19)*(DATA!$B$6-DATA!$B$12)</f>
        <v>414.21452115464621</v>
      </c>
      <c r="V18">
        <f t="shared" si="8"/>
        <v>583.97457080818981</v>
      </c>
      <c r="W18">
        <f t="shared" si="9"/>
        <v>33.939737657691502</v>
      </c>
    </row>
    <row r="19" spans="1:23" x14ac:dyDescent="0.3">
      <c r="A19" s="5">
        <v>17</v>
      </c>
      <c r="B19">
        <f>B18*EXP(RATES!O20)*(1-DATA!$B$6)</f>
        <v>50586.736374250468</v>
      </c>
      <c r="C19">
        <f>C18*EXP(RATES!O20)*(1-DATA!$B$6)</f>
        <v>20732.269005840368</v>
      </c>
      <c r="D19">
        <f t="shared" si="2"/>
        <v>71319.005380090835</v>
      </c>
      <c r="E19">
        <f>E18*(1-'LIFE TABLE MALE'!D79/1000)</f>
        <v>0.75700168217713715</v>
      </c>
      <c r="F19">
        <f t="shared" si="3"/>
        <v>6.3113423300654309E-2</v>
      </c>
      <c r="G19">
        <f t="shared" si="0"/>
        <v>71299.005380090835</v>
      </c>
      <c r="H19">
        <f t="shared" si="1"/>
        <v>71319.005380090835</v>
      </c>
      <c r="I19">
        <f>G19*DATA!$B$7*F18*E19</f>
        <v>601.13828301600893</v>
      </c>
      <c r="J19">
        <f>H19*'LIFE TABLE MALE'!D79/1000*F18*E18</f>
        <v>136.24230909602488</v>
      </c>
      <c r="K19">
        <f>0</f>
        <v>0</v>
      </c>
      <c r="L19" s="43">
        <f>DATA!$B$8*((1+DATA!$B$9)^A18)*F19*E19</f>
        <v>3.2793769081426625</v>
      </c>
      <c r="M19">
        <f>B18*EXP(RATES!O20)*(DATA!$B$12)</f>
        <v>724.1455104698432</v>
      </c>
      <c r="N19">
        <f>C18*EXP(RATES!O20)*(DATA!$B$12)</f>
        <v>296.78094691387031</v>
      </c>
      <c r="O19">
        <f t="shared" si="4"/>
        <v>1020.9264573837136</v>
      </c>
      <c r="P19">
        <f t="shared" si="5"/>
        <v>48.776770283094635</v>
      </c>
      <c r="Q19">
        <f>RATES!G20</f>
        <v>0.66091208289531467</v>
      </c>
      <c r="R19" s="44">
        <f t="shared" si="6"/>
        <v>789.43673930327111</v>
      </c>
      <c r="S19">
        <f t="shared" si="7"/>
        <v>521.74827968701038</v>
      </c>
      <c r="T19">
        <f>C18*EXP(RATES!O20)*(DATA!$B$6-DATA!$B$12)</f>
        <v>169.58911252221156</v>
      </c>
      <c r="U19">
        <f>B18*EXP(RATES!O20)*(DATA!$B$6-DATA!$B$12)</f>
        <v>413.797434554196</v>
      </c>
      <c r="V19">
        <f t="shared" si="8"/>
        <v>583.38654707640762</v>
      </c>
      <c r="W19">
        <f t="shared" si="9"/>
        <v>27.872440161768353</v>
      </c>
    </row>
    <row r="20" spans="1:23" x14ac:dyDescent="0.3">
      <c r="A20" s="5">
        <v>18</v>
      </c>
      <c r="B20">
        <f>B19*EXP(RATES!O21)*(1-DATA!$B$6)</f>
        <v>50516.042180951641</v>
      </c>
      <c r="C20">
        <f>C19*EXP(RATES!O21)*(1-DATA!$B$6)</f>
        <v>20703.295975799865</v>
      </c>
      <c r="D20">
        <f t="shared" si="2"/>
        <v>71219.338156751503</v>
      </c>
      <c r="E20">
        <f>E19*(1-'LIFE TABLE MALE'!D80/1000)</f>
        <v>0.72857800254523786</v>
      </c>
      <c r="F20">
        <f t="shared" si="3"/>
        <v>5.3646409805556163E-2</v>
      </c>
      <c r="G20">
        <f t="shared" si="0"/>
        <v>71199.338156751503</v>
      </c>
      <c r="H20">
        <f t="shared" si="1"/>
        <v>71219.338156751503</v>
      </c>
      <c r="I20">
        <f>G20*DATA!$B$7*F19*E20</f>
        <v>491.09442906584712</v>
      </c>
      <c r="J20">
        <f>H20*'LIFE TABLE MALE'!D80/1000*F19*E19</f>
        <v>127.7614905986385</v>
      </c>
      <c r="K20">
        <f>0</f>
        <v>0</v>
      </c>
      <c r="L20" s="43">
        <f>DATA!$B$8*((1+DATA!$B$9)^A19)*F20*E20</f>
        <v>2.7364633876180271</v>
      </c>
      <c r="M20">
        <f>B19*EXP(RATES!O21)*(DATA!$B$12)</f>
        <v>723.13352815268206</v>
      </c>
      <c r="N20">
        <f>C19*EXP(RATES!O21)*(DATA!$B$12)</f>
        <v>296.36620006257476</v>
      </c>
      <c r="O20">
        <f t="shared" si="4"/>
        <v>1019.4997282152568</v>
      </c>
      <c r="P20">
        <f t="shared" si="5"/>
        <v>39.847752561934399</v>
      </c>
      <c r="Q20">
        <f>RATES!G21</f>
        <v>0.64727657622441381</v>
      </c>
      <c r="R20" s="44">
        <f t="shared" si="6"/>
        <v>661.44013561403813</v>
      </c>
      <c r="S20">
        <f t="shared" si="7"/>
        <v>428.13470635766657</v>
      </c>
      <c r="T20">
        <f>C19*EXP(RATES!O21)*(DATA!$B$6-DATA!$B$12)</f>
        <v>169.35211432147125</v>
      </c>
      <c r="U20">
        <f>B19*EXP(RATES!O21)*(DATA!$B$6-DATA!$B$12)</f>
        <v>413.21915894438962</v>
      </c>
      <c r="V20">
        <f t="shared" si="8"/>
        <v>582.5712732658609</v>
      </c>
      <c r="W20">
        <f t="shared" si="9"/>
        <v>22.770144321105363</v>
      </c>
    </row>
    <row r="21" spans="1:23" x14ac:dyDescent="0.3">
      <c r="A21" s="5">
        <v>19</v>
      </c>
      <c r="B21">
        <f>B20*EXP(RATES!O22)*(1-DATA!$B$6)</f>
        <v>50435.074409642766</v>
      </c>
      <c r="C21">
        <f>C20*EXP(RATES!O22)*(1-DATA!$B$6)</f>
        <v>20670.112462968358</v>
      </c>
      <c r="D21">
        <f t="shared" si="2"/>
        <v>71105.186872611128</v>
      </c>
      <c r="E21">
        <f>E20*(1-'LIFE TABLE MALE'!D81/1000)</f>
        <v>0.69834190615291014</v>
      </c>
      <c r="F21">
        <f t="shared" si="3"/>
        <v>4.5599448334722736E-2</v>
      </c>
      <c r="G21">
        <f t="shared" si="0"/>
        <v>71085.186872611128</v>
      </c>
      <c r="H21">
        <f t="shared" si="1"/>
        <v>71105.186872611128</v>
      </c>
      <c r="I21">
        <f>G21*DATA!$B$7*F20*E21</f>
        <v>399.46536949330482</v>
      </c>
      <c r="J21">
        <f>H21*'LIFE TABLE MALE'!D81/1000*F20*E20</f>
        <v>115.33673848690646</v>
      </c>
      <c r="K21">
        <f>0</f>
        <v>0</v>
      </c>
      <c r="L21" s="43">
        <f>DATA!$B$8*((1+DATA!$B$9)^A20)*F21*E21</f>
        <v>2.274054080269575</v>
      </c>
      <c r="M21">
        <f>B20*EXP(RATES!O22)*(DATA!$B$12)</f>
        <v>721.97448030163469</v>
      </c>
      <c r="N21">
        <f>C20*EXP(RATES!O22)*(DATA!$B$12)</f>
        <v>295.89118045148979</v>
      </c>
      <c r="O21">
        <f t="shared" si="4"/>
        <v>1017.8656607531245</v>
      </c>
      <c r="P21">
        <f t="shared" si="5"/>
        <v>32.412919871904911</v>
      </c>
      <c r="Q21">
        <f>RATES!G22</f>
        <v>0.63405275958074025</v>
      </c>
      <c r="R21" s="44">
        <f t="shared" si="6"/>
        <v>549.48908193238572</v>
      </c>
      <c r="S21">
        <f t="shared" si="7"/>
        <v>348.40506875871665</v>
      </c>
      <c r="T21">
        <f>C20*EXP(RATES!O22)*(DATA!$B$6-DATA!$B$12)</f>
        <v>169.08067454370843</v>
      </c>
      <c r="U21">
        <f>B20*EXP(RATES!O22)*(DATA!$B$6-DATA!$B$12)</f>
        <v>412.55684588664832</v>
      </c>
      <c r="V21">
        <f t="shared" si="8"/>
        <v>581.63752043035674</v>
      </c>
      <c r="W21">
        <f t="shared" si="9"/>
        <v>18.521668498231378</v>
      </c>
    </row>
    <row r="22" spans="1:23" x14ac:dyDescent="0.3">
      <c r="A22" s="6">
        <v>20</v>
      </c>
      <c r="B22">
        <f>B21*EXP(RATES!O23)*(1-DATA!$B$6)</f>
        <v>50404.383182534075</v>
      </c>
      <c r="C22">
        <f>C21*EXP(RATES!O23)*(1-DATA!$B$6)</f>
        <v>20657.534091202502</v>
      </c>
      <c r="D22">
        <f t="shared" si="2"/>
        <v>71061.917273736573</v>
      </c>
      <c r="E22">
        <f>E21*(1-'LIFE TABLE MALE'!D82/1000)</f>
        <v>0.66548978691150162</v>
      </c>
      <c r="F22">
        <f t="shared" si="3"/>
        <v>3.8759531084514326E-2</v>
      </c>
      <c r="G22">
        <f t="shared" si="0"/>
        <v>71041.917273736573</v>
      </c>
      <c r="H22">
        <f t="shared" si="1"/>
        <v>71061.917273736573</v>
      </c>
      <c r="I22">
        <f>G22*DATA!$B$7*F21*E22</f>
        <v>323.37535323848749</v>
      </c>
      <c r="J22">
        <f>H22*'LIFE TABLE MALE'!D82/1000*F21*E21</f>
        <v>106.45348895720933</v>
      </c>
      <c r="K22">
        <f>0</f>
        <v>0</v>
      </c>
      <c r="L22" s="43">
        <f>DATA!$B$8*((1+DATA!$B$9)^A21)*F22*E22</f>
        <v>1.8788546197185032</v>
      </c>
      <c r="M22">
        <f>B21*EXP(RATES!O23)*(DATA!$B$12)</f>
        <v>721.53513758228746</v>
      </c>
      <c r="N22">
        <f>C21*EXP(RATES!O23)*(DATA!$B$12)</f>
        <v>295.71112195995403</v>
      </c>
      <c r="O22">
        <f t="shared" si="4"/>
        <v>1017.2462595422414</v>
      </c>
      <c r="P22">
        <f t="shared" si="5"/>
        <v>26.238923344004469</v>
      </c>
      <c r="Q22">
        <f>RATES!G23</f>
        <v>0.62048117992903407</v>
      </c>
      <c r="R22" s="44">
        <f t="shared" si="6"/>
        <v>457.94662015941981</v>
      </c>
      <c r="S22">
        <f t="shared" si="7"/>
        <v>284.14725922102997</v>
      </c>
      <c r="T22">
        <f>C21*EXP(RATES!O23)*(DATA!$B$6-DATA!$B$12)</f>
        <v>168.97778397711653</v>
      </c>
      <c r="U22">
        <f>B21*EXP(RATES!O23)*(DATA!$B$6-DATA!$B$12)</f>
        <v>412.30579290416415</v>
      </c>
      <c r="V22">
        <f t="shared" si="8"/>
        <v>581.28357688128062</v>
      </c>
      <c r="W22">
        <f t="shared" si="9"/>
        <v>14.993670482288262</v>
      </c>
    </row>
    <row r="23" spans="1:23" x14ac:dyDescent="0.3">
      <c r="A23" s="5">
        <v>21</v>
      </c>
      <c r="B23">
        <f>B22*EXP(RATES!O24)*(1-DATA!$B$6)</f>
        <v>50423.896819388741</v>
      </c>
      <c r="C23">
        <f>C22*EXP(RATES!O24)*(1-DATA!$B$6)</f>
        <v>20665.531483356055</v>
      </c>
      <c r="D23">
        <f t="shared" si="2"/>
        <v>71089.428302744796</v>
      </c>
      <c r="E23">
        <f>E22*(1-'LIFE TABLE MALE'!D83/1000)</f>
        <v>0.63037147159761586</v>
      </c>
      <c r="F23">
        <f t="shared" si="3"/>
        <v>3.2945601421837174E-2</v>
      </c>
      <c r="G23">
        <f t="shared" si="0"/>
        <v>71069.428302744796</v>
      </c>
      <c r="H23">
        <f t="shared" si="1"/>
        <v>71089.428302744796</v>
      </c>
      <c r="I23">
        <f>G23*DATA!$B$7*F22*E23</f>
        <v>260.46486344740333</v>
      </c>
      <c r="J23">
        <f>H23*'LIFE TABLE MALE'!D83/1000*F22*E22</f>
        <v>96.764756889381971</v>
      </c>
      <c r="K23">
        <f>0</f>
        <v>0</v>
      </c>
      <c r="L23" s="43">
        <f>DATA!$B$8*((1+DATA!$B$9)^A22)*F23*E23</f>
        <v>1.5430053428157937</v>
      </c>
      <c r="M23">
        <f>B22*EXP(RATES!O24)*(DATA!$B$12)</f>
        <v>721.81447389718039</v>
      </c>
      <c r="N23">
        <f>C22*EXP(RATES!O24)*(DATA!$B$12)</f>
        <v>295.82560405622166</v>
      </c>
      <c r="O23">
        <f t="shared" si="4"/>
        <v>1017.6400779534021</v>
      </c>
      <c r="P23">
        <f t="shared" si="5"/>
        <v>21.134315812192501</v>
      </c>
      <c r="Q23">
        <f>RATES!G24</f>
        <v>0.60659575547952316</v>
      </c>
      <c r="R23" s="44">
        <f t="shared" si="6"/>
        <v>379.90694149179359</v>
      </c>
      <c r="S23">
        <f t="shared" si="7"/>
        <v>230.44993818612954</v>
      </c>
      <c r="T23">
        <f>C22*EXP(RATES!O24)*(DATA!$B$6-DATA!$B$12)</f>
        <v>169.04320231784092</v>
      </c>
      <c r="U23">
        <f>B22*EXP(RATES!O24)*(DATA!$B$6-DATA!$B$12)</f>
        <v>412.46541365553156</v>
      </c>
      <c r="V23">
        <f t="shared" si="8"/>
        <v>581.50861597337246</v>
      </c>
      <c r="W23">
        <f t="shared" si="9"/>
        <v>12.076751892681425</v>
      </c>
    </row>
    <row r="24" spans="1:23" x14ac:dyDescent="0.3">
      <c r="A24" s="5">
        <v>22</v>
      </c>
      <c r="B24">
        <f>B23*EXP(RATES!O25)*(1-DATA!$B$6)</f>
        <v>50502.559106904933</v>
      </c>
      <c r="C24">
        <f>C23*EXP(RATES!O25)*(1-DATA!$B$6)</f>
        <v>20697.770125780724</v>
      </c>
      <c r="D24">
        <f t="shared" si="2"/>
        <v>71200.329232685661</v>
      </c>
      <c r="E24">
        <f>E23*(1-'LIFE TABLE MALE'!D84/1000)</f>
        <v>0.59321032950859998</v>
      </c>
      <c r="F24">
        <f t="shared" si="3"/>
        <v>2.8003761208561597E-2</v>
      </c>
      <c r="G24">
        <f t="shared" si="0"/>
        <v>71180.329232685661</v>
      </c>
      <c r="H24">
        <f t="shared" si="1"/>
        <v>71200.329232685661</v>
      </c>
      <c r="I24">
        <f>G24*DATA!$B$7*F23*E24</f>
        <v>208.66874123335052</v>
      </c>
      <c r="J24">
        <f>H24*'LIFE TABLE MALE'!D84/1000*F23*E23</f>
        <v>87.170290784240308</v>
      </c>
      <c r="K24">
        <f>0</f>
        <v>0</v>
      </c>
      <c r="L24" s="43">
        <f>DATA!$B$8*((1+DATA!$B$9)^A23)*F24*E24</f>
        <v>1.2589215906148017</v>
      </c>
      <c r="M24">
        <f>B23*EXP(RATES!O25)*(DATA!$B$12)</f>
        <v>722.94051891274955</v>
      </c>
      <c r="N24">
        <f>C23*EXP(RATES!O25)*(DATA!$B$12)</f>
        <v>296.28709791506151</v>
      </c>
      <c r="O24">
        <f t="shared" si="4"/>
        <v>1019.2276168278111</v>
      </c>
      <c r="P24">
        <f t="shared" si="5"/>
        <v>16.931531900029036</v>
      </c>
      <c r="Q24">
        <f>RATES!G25</f>
        <v>0.59232660750473398</v>
      </c>
      <c r="R24" s="44">
        <f t="shared" si="6"/>
        <v>314.02948550823464</v>
      </c>
      <c r="S24">
        <f t="shared" si="7"/>
        <v>186.00801980754966</v>
      </c>
      <c r="T24">
        <f>C23*EXP(RATES!O25)*(DATA!$B$6-DATA!$B$12)</f>
        <v>169.30691309432083</v>
      </c>
      <c r="U24">
        <f>B23*EXP(RATES!O25)*(DATA!$B$6-DATA!$B$12)</f>
        <v>413.1088679501425</v>
      </c>
      <c r="V24">
        <f t="shared" si="8"/>
        <v>582.4157810444633</v>
      </c>
      <c r="W24">
        <f t="shared" si="9"/>
        <v>9.6751610857308741</v>
      </c>
    </row>
    <row r="25" spans="1:23" x14ac:dyDescent="0.3">
      <c r="A25" s="5">
        <v>23</v>
      </c>
      <c r="B25">
        <f>B24*EXP(RATES!O26)*(1-DATA!$B$6)</f>
        <v>50626.803820446468</v>
      </c>
      <c r="C25">
        <f>C24*EXP(RATES!O26)*(1-DATA!$B$6)</f>
        <v>20748.690090346925</v>
      </c>
      <c r="D25">
        <f t="shared" si="2"/>
        <v>71375.49391079339</v>
      </c>
      <c r="E25">
        <f>E24*(1-'LIFE TABLE MALE'!D85/1000)</f>
        <v>0.55421480613968421</v>
      </c>
      <c r="F25">
        <f t="shared" si="3"/>
        <v>2.3803197027277356E-2</v>
      </c>
      <c r="G25">
        <f t="shared" si="0"/>
        <v>71355.49391079339</v>
      </c>
      <c r="H25">
        <f t="shared" si="1"/>
        <v>71375.49391079339</v>
      </c>
      <c r="I25">
        <f>G25*DATA!$B$7*F24*E25</f>
        <v>166.11665041012793</v>
      </c>
      <c r="J25">
        <f>H25*'LIFE TABLE MALE'!D85/1000*F24*E24</f>
        <v>77.943561406299551</v>
      </c>
      <c r="K25">
        <f>0</f>
        <v>0</v>
      </c>
      <c r="L25" s="43">
        <f>DATA!$B$8*((1+DATA!$B$9)^A24)*F25*E25</f>
        <v>1.0197347014261977</v>
      </c>
      <c r="M25">
        <f>B24*EXP(RATES!O26)*(DATA!$B$12)</f>
        <v>724.71907309432572</v>
      </c>
      <c r="N25">
        <f>C24*EXP(RATES!O26)*(DATA!$B$12)</f>
        <v>297.01601356324846</v>
      </c>
      <c r="O25">
        <f t="shared" si="4"/>
        <v>1021.7350866575741</v>
      </c>
      <c r="P25">
        <f t="shared" si="5"/>
        <v>13.478815319822861</v>
      </c>
      <c r="Q25">
        <f>RATES!G26</f>
        <v>0.57787375637469385</v>
      </c>
      <c r="R25" s="44">
        <f t="shared" si="6"/>
        <v>258.55876183767657</v>
      </c>
      <c r="S25">
        <f t="shared" si="7"/>
        <v>149.41432294672799</v>
      </c>
      <c r="T25">
        <f>C24*EXP(RATES!O26)*(DATA!$B$6-DATA!$B$12)</f>
        <v>169.72343632185621</v>
      </c>
      <c r="U25">
        <f>B24*EXP(RATES!O26)*(DATA!$B$6-DATA!$B$12)</f>
        <v>414.12518462532893</v>
      </c>
      <c r="V25">
        <f t="shared" si="8"/>
        <v>583.84862094718517</v>
      </c>
      <c r="W25">
        <f t="shared" si="9"/>
        <v>7.7021801827559191</v>
      </c>
    </row>
    <row r="26" spans="1:23" x14ac:dyDescent="0.3">
      <c r="A26" s="5">
        <v>24</v>
      </c>
      <c r="B26">
        <f>B25*EXP(RATES!O27)*(1-DATA!$B$6)</f>
        <v>50802.913602697983</v>
      </c>
      <c r="C26">
        <f>C25*EXP(RATES!O27)*(1-DATA!$B$6)</f>
        <v>20820.866230613938</v>
      </c>
      <c r="D26">
        <f t="shared" si="2"/>
        <v>71623.779833311914</v>
      </c>
      <c r="E26">
        <f>E25*(1-'LIFE TABLE MALE'!D86/1000)</f>
        <v>0.51420915397167088</v>
      </c>
      <c r="F26">
        <f t="shared" si="3"/>
        <v>2.0232717473185752E-2</v>
      </c>
      <c r="G26">
        <f t="shared" si="0"/>
        <v>71603.779833311914</v>
      </c>
      <c r="H26">
        <f t="shared" si="1"/>
        <v>71623.779833311914</v>
      </c>
      <c r="I26">
        <f>G26*DATA!$B$7*F25*E26</f>
        <v>131.46262586096228</v>
      </c>
      <c r="J26">
        <f>H26*'LIFE TABLE MALE'!D86/1000*F25*E25</f>
        <v>68.20463396804702</v>
      </c>
      <c r="K26">
        <f>0</f>
        <v>0</v>
      </c>
      <c r="L26" s="43">
        <f>DATA!$B$8*((1+DATA!$B$9)^A25)*F26*E26</f>
        <v>0.8202910549354403</v>
      </c>
      <c r="M26">
        <f>B25*EXP(RATES!O27)*(DATA!$B$12)</f>
        <v>727.24007202226153</v>
      </c>
      <c r="N26">
        <f>C25*EXP(RATES!O27)*(DATA!$B$12)</f>
        <v>298.04920984518935</v>
      </c>
      <c r="O26">
        <f t="shared" si="4"/>
        <v>1025.2892818674509</v>
      </c>
      <c r="P26">
        <f t="shared" si="5"/>
        <v>10.666954392528273</v>
      </c>
      <c r="Q26">
        <f>RATES!G27</f>
        <v>0.56320138825489208</v>
      </c>
      <c r="R26" s="44">
        <f t="shared" si="6"/>
        <v>211.154505276473</v>
      </c>
      <c r="S26">
        <f t="shared" si="7"/>
        <v>118.92251050798453</v>
      </c>
      <c r="T26">
        <f>C25*EXP(RATES!O27)*(DATA!$B$6-DATA!$B$12)</f>
        <v>170.313834197251</v>
      </c>
      <c r="U26">
        <f>B25*EXP(RATES!O27)*(DATA!$B$6-DATA!$B$12)</f>
        <v>415.5657554412922</v>
      </c>
      <c r="V26">
        <f t="shared" si="8"/>
        <v>585.87958963854317</v>
      </c>
      <c r="W26">
        <f t="shared" si="9"/>
        <v>6.0954025100161537</v>
      </c>
    </row>
    <row r="27" spans="1:23" x14ac:dyDescent="0.3">
      <c r="A27" s="6">
        <v>25</v>
      </c>
      <c r="B27">
        <f>B26*EXP(RATES!O28)*(1-DATA!$B$6)</f>
        <v>51012.488159080378</v>
      </c>
      <c r="C27">
        <f>C26*EXP(RATES!O28)*(1-DATA!$B$6)</f>
        <v>20906.757442246071</v>
      </c>
      <c r="D27">
        <f t="shared" si="2"/>
        <v>71919.245601326445</v>
      </c>
      <c r="E27">
        <f>E26*(1-'LIFE TABLE MALE'!D87/1000)</f>
        <v>0.47242590134255708</v>
      </c>
      <c r="F27">
        <f t="shared" si="3"/>
        <v>1.7197809852207889E-2</v>
      </c>
      <c r="G27">
        <f t="shared" si="0"/>
        <v>71899.245601326445</v>
      </c>
      <c r="H27">
        <f t="shared" si="1"/>
        <v>71919.245601326445</v>
      </c>
      <c r="I27">
        <f>G27*DATA!$B$7*F26*E27</f>
        <v>103.086907189653</v>
      </c>
      <c r="J27">
        <f>H27*'LIFE TABLE MALE'!D87/1000*F26*E26</f>
        <v>60.79972082021083</v>
      </c>
      <c r="K27">
        <f>0</f>
        <v>0</v>
      </c>
      <c r="L27" s="43">
        <f>DATA!$B$8*((1+DATA!$B$9)^A26)*F27*E27</f>
        <v>0.653402767811879</v>
      </c>
      <c r="M27">
        <f>B26*EXP(RATES!O28)*(DATA!$B$12)</f>
        <v>730.24011679665171</v>
      </c>
      <c r="N27">
        <f>C26*EXP(RATES!O28)*(DATA!$B$12)</f>
        <v>299.27873639207053</v>
      </c>
      <c r="O27">
        <f t="shared" si="4"/>
        <v>1029.5188531887222</v>
      </c>
      <c r="P27">
        <f t="shared" si="5"/>
        <v>8.3645223760827125</v>
      </c>
      <c r="Q27">
        <f>RATES!G28</f>
        <v>0.54854806158178537</v>
      </c>
      <c r="R27" s="44">
        <f t="shared" si="6"/>
        <v>172.90455315375843</v>
      </c>
      <c r="S27">
        <f t="shared" si="7"/>
        <v>94.846457471158956</v>
      </c>
      <c r="T27">
        <f>C26*EXP(RATES!O28)*(DATA!$B$6-DATA!$B$12)</f>
        <v>171.01642079546883</v>
      </c>
      <c r="U27">
        <f>B26*EXP(RATES!O28)*(DATA!$B$6-DATA!$B$12)</f>
        <v>417.28006674094371</v>
      </c>
      <c r="V27">
        <f t="shared" si="8"/>
        <v>588.29648753641254</v>
      </c>
      <c r="W27">
        <f t="shared" si="9"/>
        <v>4.7797270720472627</v>
      </c>
    </row>
    <row r="28" spans="1:23" x14ac:dyDescent="0.3">
      <c r="A28" s="5">
        <v>26</v>
      </c>
      <c r="B28">
        <f>B27*EXP(RATES!O29)*(1-DATA!$B$6)</f>
        <v>51258.930132316338</v>
      </c>
      <c r="C28">
        <f>C27*EXP(RATES!O29)*(1-DATA!$B$6)</f>
        <v>21007.758250949333</v>
      </c>
      <c r="D28">
        <f t="shared" si="2"/>
        <v>72266.688383265675</v>
      </c>
      <c r="E28">
        <f>E27*(1-'LIFE TABLE MALE'!D88/1000)</f>
        <v>0.42866056426106119</v>
      </c>
      <c r="F28">
        <f t="shared" si="3"/>
        <v>1.4618138374376706E-2</v>
      </c>
      <c r="G28">
        <f t="shared" si="0"/>
        <v>72246.688383265675</v>
      </c>
      <c r="H28">
        <f t="shared" si="1"/>
        <v>72266.688383265675</v>
      </c>
      <c r="I28">
        <f>G28*DATA!$B$7*F27*E28</f>
        <v>79.890635913936066</v>
      </c>
      <c r="J28">
        <f>H28*'LIFE TABLE MALE'!D88/1000*F27*E27</f>
        <v>54.392819855118567</v>
      </c>
      <c r="K28">
        <f>0</f>
        <v>0</v>
      </c>
      <c r="L28" s="43">
        <f>DATA!$B$8*((1+DATA!$B$9)^A27)*F28*E28</f>
        <v>0.51401985912343284</v>
      </c>
      <c r="M28">
        <f>B27*EXP(RATES!O29)*(DATA!$B$12)</f>
        <v>733.76791600452839</v>
      </c>
      <c r="N28">
        <f>C27*EXP(RATES!O29)*(DATA!$B$12)</f>
        <v>300.72455573956097</v>
      </c>
      <c r="O28">
        <f t="shared" si="4"/>
        <v>1034.4924717440895</v>
      </c>
      <c r="P28">
        <f t="shared" si="5"/>
        <v>6.482356841121252</v>
      </c>
      <c r="Q28">
        <f>RATES!G29</f>
        <v>0.53390072310461278</v>
      </c>
      <c r="R28" s="44">
        <f t="shared" si="6"/>
        <v>141.27983246929932</v>
      </c>
      <c r="S28">
        <f t="shared" si="7"/>
        <v>75.429404715457466</v>
      </c>
      <c r="T28">
        <f>C27*EXP(RATES!O29)*(DATA!$B$6-DATA!$B$12)</f>
        <v>171.84260327974911</v>
      </c>
      <c r="U28">
        <f>B27*EXP(RATES!O29)*(DATA!$B$6-DATA!$B$12)</f>
        <v>419.29595200258751</v>
      </c>
      <c r="V28">
        <f t="shared" si="8"/>
        <v>591.1385552823366</v>
      </c>
      <c r="W28">
        <f t="shared" si="9"/>
        <v>3.7042039092121426</v>
      </c>
    </row>
    <row r="29" spans="1:23" x14ac:dyDescent="0.3">
      <c r="A29" s="5">
        <v>27</v>
      </c>
      <c r="B29">
        <f>B28*EXP(RATES!O30)*(1-DATA!$B$6)</f>
        <v>51545.772813208991</v>
      </c>
      <c r="C29">
        <f>C28*EXP(RATES!O30)*(1-DATA!$B$6)</f>
        <v>21125.31672672501</v>
      </c>
      <c r="D29">
        <f t="shared" si="2"/>
        <v>72671.089539934008</v>
      </c>
      <c r="E29">
        <f>E28*(1-'LIFE TABLE MALE'!D89/1000)</f>
        <v>0.38279328376033767</v>
      </c>
      <c r="F29">
        <f t="shared" si="3"/>
        <v>1.24254176182202E-2</v>
      </c>
      <c r="G29">
        <f t="shared" si="0"/>
        <v>72651.089539934008</v>
      </c>
      <c r="H29">
        <f t="shared" si="1"/>
        <v>72671.089539934008</v>
      </c>
      <c r="I29">
        <f>G29*DATA!$B$7*F28*E29</f>
        <v>60.980329781549507</v>
      </c>
      <c r="J29">
        <f>H29*'LIFE TABLE MALE'!D89/1000*F28*E28</f>
        <v>48.72554791146581</v>
      </c>
      <c r="K29">
        <f>0</f>
        <v>0</v>
      </c>
      <c r="L29" s="43">
        <f>DATA!$B$8*((1+DATA!$B$9)^A28)*F29*E29</f>
        <v>0.39796948563168955</v>
      </c>
      <c r="M29">
        <f>B28*EXP(RATES!O30)*(DATA!$B$12)</f>
        <v>737.87404845084438</v>
      </c>
      <c r="N29">
        <f>C28*EXP(RATES!O30)*(DATA!$B$12)</f>
        <v>302.40739690608399</v>
      </c>
      <c r="O29">
        <f t="shared" si="4"/>
        <v>1040.2814453569283</v>
      </c>
      <c r="P29">
        <f t="shared" si="5"/>
        <v>4.9479597259015025</v>
      </c>
      <c r="Q29">
        <f>RATES!G30</f>
        <v>0.51924921182601969</v>
      </c>
      <c r="R29" s="44">
        <f t="shared" si="6"/>
        <v>115.0518069045485</v>
      </c>
      <c r="S29">
        <f t="shared" si="7"/>
        <v>59.740560054346219</v>
      </c>
      <c r="T29">
        <f>C28*EXP(RATES!O30)*(DATA!$B$6-DATA!$B$12)</f>
        <v>172.80422680347655</v>
      </c>
      <c r="U29">
        <f>B28*EXP(RATES!O30)*(DATA!$B$6-DATA!$B$12)</f>
        <v>421.64231340048246</v>
      </c>
      <c r="V29">
        <f t="shared" si="8"/>
        <v>594.44654020395899</v>
      </c>
      <c r="W29">
        <f t="shared" si="9"/>
        <v>2.8274055576580008</v>
      </c>
    </row>
    <row r="30" spans="1:23" x14ac:dyDescent="0.3">
      <c r="A30" s="5">
        <v>28</v>
      </c>
      <c r="B30">
        <f>B29*EXP(RATES!O31)*(1-DATA!$B$6)</f>
        <v>51862.531315415945</v>
      </c>
      <c r="C30">
        <f>C29*EXP(RATES!O31)*(1-DATA!$B$6)</f>
        <v>21255.135785006551</v>
      </c>
      <c r="D30">
        <f t="shared" si="2"/>
        <v>73117.667100422492</v>
      </c>
      <c r="E30">
        <f>E29*(1-'LIFE TABLE MALE'!D90/1000)</f>
        <v>0.33599119307109643</v>
      </c>
      <c r="F30">
        <f t="shared" si="3"/>
        <v>1.0561604975487169E-2</v>
      </c>
      <c r="G30">
        <f t="shared" si="0"/>
        <v>73097.667100422492</v>
      </c>
      <c r="H30">
        <f t="shared" si="1"/>
        <v>73117.667100422492</v>
      </c>
      <c r="I30">
        <f>G30*DATA!$B$7*F29*E30</f>
        <v>45.775559789145447</v>
      </c>
      <c r="J30">
        <f>H30*'LIFE TABLE MALE'!D90/1000*F29*E29</f>
        <v>42.520520720725784</v>
      </c>
      <c r="K30">
        <f>0</f>
        <v>0</v>
      </c>
      <c r="L30" s="43">
        <f>DATA!$B$8*((1+DATA!$B$9)^A29)*F30*E30</f>
        <v>0.30285340150374207</v>
      </c>
      <c r="M30">
        <f>B29*EXP(RATES!O31)*(DATA!$B$12)</f>
        <v>742.40842373806061</v>
      </c>
      <c r="N30">
        <f>C29*EXP(RATES!O31)*(DATA!$B$12)</f>
        <v>304.26574743363159</v>
      </c>
      <c r="O30">
        <f t="shared" si="4"/>
        <v>1046.6741711716923</v>
      </c>
      <c r="P30">
        <f t="shared" si="5"/>
        <v>3.7142345122944938</v>
      </c>
      <c r="Q30">
        <f>RATES!G31</f>
        <v>0.50472410428806358</v>
      </c>
      <c r="R30" s="44">
        <f t="shared" si="6"/>
        <v>92.313168423669467</v>
      </c>
      <c r="S30">
        <f t="shared" si="7"/>
        <v>46.592681246629724</v>
      </c>
      <c r="T30">
        <f>C29*EXP(RATES!O31)*(DATA!$B$6-DATA!$B$12)</f>
        <v>173.86614139064659</v>
      </c>
      <c r="U30">
        <f>B29*EXP(RATES!O31)*(DATA!$B$6-DATA!$B$12)</f>
        <v>424.23338499317742</v>
      </c>
      <c r="V30">
        <f t="shared" si="8"/>
        <v>598.09952638382401</v>
      </c>
      <c r="W30">
        <f t="shared" si="9"/>
        <v>2.1224197213111387</v>
      </c>
    </row>
    <row r="31" spans="1:23" x14ac:dyDescent="0.3">
      <c r="A31" s="5">
        <v>29</v>
      </c>
      <c r="B31">
        <f>B30*EXP(RATES!O32)*(1-DATA!$B$6)</f>
        <v>52196.484008719737</v>
      </c>
      <c r="C31">
        <f>C30*EXP(RATES!O32)*(1-DATA!$B$6)</f>
        <v>21392.001642917941</v>
      </c>
      <c r="D31">
        <f t="shared" si="2"/>
        <v>73588.485651637675</v>
      </c>
      <c r="E31">
        <f>E30*(1-'LIFE TABLE MALE'!D91/1000)</f>
        <v>0.28899294993893926</v>
      </c>
      <c r="F31">
        <f t="shared" si="3"/>
        <v>8.9773642291640938E-3</v>
      </c>
      <c r="G31">
        <f t="shared" si="0"/>
        <v>73568.485651637675</v>
      </c>
      <c r="H31">
        <f t="shared" si="1"/>
        <v>73588.485651637675</v>
      </c>
      <c r="I31">
        <f>G31*DATA!$B$7*F30*E31</f>
        <v>33.682183979647405</v>
      </c>
      <c r="J31">
        <f>H31*'LIFE TABLE MALE'!D91/1000*F30*E30</f>
        <v>36.527622801577692</v>
      </c>
      <c r="K31">
        <f>0</f>
        <v>0</v>
      </c>
      <c r="L31" s="43">
        <f>DATA!$B$8*((1+DATA!$B$9)^A30)*F31*E31</f>
        <v>0.22584522226719111</v>
      </c>
      <c r="M31">
        <f>B30*EXP(RATES!O32)*(DATA!$B$12)</f>
        <v>747.18893264015992</v>
      </c>
      <c r="N31">
        <f>C30*EXP(RATES!O32)*(DATA!$B$12)</f>
        <v>306.22497239350838</v>
      </c>
      <c r="O31">
        <f t="shared" si="4"/>
        <v>1053.4139050336682</v>
      </c>
      <c r="P31">
        <f t="shared" si="5"/>
        <v>2.7329717378772815</v>
      </c>
      <c r="Q31">
        <f>RATES!G32</f>
        <v>0.49046199601095725</v>
      </c>
      <c r="R31" s="45">
        <f t="shared" si="6"/>
        <v>73.168623741369572</v>
      </c>
      <c r="S31">
        <f t="shared" si="7"/>
        <v>35.886429245566838</v>
      </c>
      <c r="T31">
        <f>C30*EXP(RATES!O32)*(DATA!$B$6-DATA!$B$12)</f>
        <v>174.98569851057619</v>
      </c>
      <c r="U31">
        <f>B30*EXP(RATES!O32)*(DATA!$B$6-DATA!$B$12)</f>
        <v>426.96510436580553</v>
      </c>
      <c r="V31">
        <f t="shared" si="8"/>
        <v>601.95080287638166</v>
      </c>
      <c r="W31">
        <f t="shared" si="9"/>
        <v>1.5616981359298745</v>
      </c>
    </row>
    <row r="32" spans="1:23" x14ac:dyDescent="0.3">
      <c r="A32" s="6">
        <v>30</v>
      </c>
      <c r="B32">
        <f>B31*EXP(RATES!O33)*(1-DATA!$B$6)</f>
        <v>52547.934035813967</v>
      </c>
      <c r="C32">
        <f>C31*EXP(RATES!O33)*(1-DATA!$B$6)</f>
        <v>21536.038539268036</v>
      </c>
      <c r="D32">
        <f t="shared" si="2"/>
        <v>74083.972575082007</v>
      </c>
      <c r="E32">
        <f>E31*(1-'LIFE TABLE MALE'!D92/1000)</f>
        <v>0.24274450939213651</v>
      </c>
      <c r="F32">
        <f t="shared" si="3"/>
        <v>7.6307595947894798E-3</v>
      </c>
      <c r="G32">
        <f t="shared" si="0"/>
        <v>74063.972575082007</v>
      </c>
      <c r="H32">
        <f t="shared" si="1"/>
        <v>74083.972575082007</v>
      </c>
      <c r="I32">
        <f>G32*DATA!$B$7*F31*E32</f>
        <v>24.210096629139674</v>
      </c>
      <c r="J32">
        <f>H32*'LIFE TABLE MALE'!D92/1000*F31*E31</f>
        <v>30.758857588164144</v>
      </c>
      <c r="K32">
        <f>0</f>
        <v>0</v>
      </c>
      <c r="L32" s="43">
        <f>DATA!$B$8*((1+DATA!$B$9)^A31)*F32*E32</f>
        <v>0.16447207527623681</v>
      </c>
      <c r="M32">
        <f>B31*EXP(RATES!O33)*(DATA!$B$12)</f>
        <v>752.21991462310393</v>
      </c>
      <c r="N32">
        <f>C31*EXP(RATES!O33)*(DATA!$B$12)</f>
        <v>308.28685025537067</v>
      </c>
      <c r="O32">
        <f t="shared" si="4"/>
        <v>1060.5067648784745</v>
      </c>
      <c r="P32">
        <f t="shared" si="5"/>
        <v>1.964403187024645</v>
      </c>
      <c r="Q32">
        <f>RATES!G33</f>
        <v>0.47646370067584165</v>
      </c>
      <c r="R32" s="45">
        <f t="shared" si="6"/>
        <v>57.097829479604698</v>
      </c>
      <c r="S32">
        <f t="shared" si="7"/>
        <v>27.205043134410619</v>
      </c>
      <c r="T32">
        <f>C31*EXP(RATES!O33)*(DATA!$B$6-DATA!$B$12)</f>
        <v>176.16391443164034</v>
      </c>
      <c r="U32">
        <f>B31*EXP(RATES!O33)*(DATA!$B$6-DATA!$B$12)</f>
        <v>429.83995121320214</v>
      </c>
      <c r="V32">
        <f t="shared" si="8"/>
        <v>606.00386564484245</v>
      </c>
      <c r="W32">
        <f t="shared" si="9"/>
        <v>1.1225161068712255</v>
      </c>
    </row>
    <row r="33" spans="1:23" x14ac:dyDescent="0.3">
      <c r="A33" s="5">
        <v>31</v>
      </c>
      <c r="B33">
        <f>B32*EXP(RATES!O34)*(1-DATA!$B$6)</f>
        <v>52933.205771700297</v>
      </c>
      <c r="C33">
        <f>C32*EXP(RATES!O34)*(1-DATA!$B$6)</f>
        <v>21693.936791680469</v>
      </c>
      <c r="D33">
        <f t="shared" si="2"/>
        <v>74627.142563380767</v>
      </c>
      <c r="E33">
        <f>E32*(1-'LIFE TABLE MALE'!D93/1000)</f>
        <v>0.1988663322971663</v>
      </c>
      <c r="F33">
        <f t="shared" si="3"/>
        <v>6.486145655571058E-3</v>
      </c>
      <c r="G33">
        <f t="shared" si="0"/>
        <v>74607.142563380767</v>
      </c>
      <c r="H33">
        <f t="shared" si="1"/>
        <v>74627.142563380767</v>
      </c>
      <c r="I33">
        <f>G33*DATA!$B$7*F32*E33</f>
        <v>16.982463955994564</v>
      </c>
      <c r="J33">
        <f>H33*'LIFE TABLE MALE'!D93/1000*F32*E32</f>
        <v>24.986945013630297</v>
      </c>
      <c r="K33">
        <f>0</f>
        <v>0</v>
      </c>
      <c r="L33" s="43">
        <f>DATA!$B$8*((1+DATA!$B$9)^A32)*F33*E33</f>
        <v>0.11682159148546863</v>
      </c>
      <c r="M33">
        <f>B32*EXP(RATES!O34)*(DATA!$B$12)</f>
        <v>757.73505194663005</v>
      </c>
      <c r="N33">
        <f>C32*EXP(RATES!O34)*(DATA!$B$12)</f>
        <v>310.54715243714372</v>
      </c>
      <c r="O33">
        <f t="shared" si="4"/>
        <v>1068.2822043837737</v>
      </c>
      <c r="P33">
        <f t="shared" si="5"/>
        <v>1.377951573743835</v>
      </c>
      <c r="Q33">
        <f>RATES!G34</f>
        <v>0.46258987582736705</v>
      </c>
      <c r="R33" s="45">
        <f t="shared" si="6"/>
        <v>43.46418213485417</v>
      </c>
      <c r="S33">
        <f t="shared" si="7"/>
        <v>20.106090616700257</v>
      </c>
      <c r="T33">
        <f>C32*EXP(RATES!O34)*(DATA!$B$6-DATA!$B$12)</f>
        <v>177.45551567836782</v>
      </c>
      <c r="U33">
        <f>B32*EXP(RATES!O34)*(DATA!$B$6-DATA!$B$12)</f>
        <v>432.99145825521708</v>
      </c>
      <c r="V33">
        <f t="shared" si="8"/>
        <v>610.4469739335849</v>
      </c>
      <c r="W33">
        <f t="shared" si="9"/>
        <v>0.78740089928219137</v>
      </c>
    </row>
    <row r="34" spans="1:23" x14ac:dyDescent="0.3">
      <c r="A34" s="5">
        <v>32</v>
      </c>
      <c r="B34">
        <f>B33*EXP(RATES!O35)*(1-DATA!$B$6)</f>
        <v>53337.908299180337</v>
      </c>
      <c r="C34">
        <f>C33*EXP(RATES!O35)*(1-DATA!$B$6)</f>
        <v>21859.79848327065</v>
      </c>
      <c r="D34">
        <f t="shared" si="2"/>
        <v>75197.706782450987</v>
      </c>
      <c r="E34">
        <f>E33*(1-'LIFE TABLE MALE'!D94/1000)</f>
        <v>0.1590545553724837</v>
      </c>
      <c r="F34">
        <f t="shared" si="3"/>
        <v>5.5132238072353994E-3</v>
      </c>
      <c r="G34">
        <f t="shared" si="0"/>
        <v>75177.706782450987</v>
      </c>
      <c r="H34">
        <f t="shared" si="1"/>
        <v>75197.706782450987</v>
      </c>
      <c r="I34">
        <f>G34*DATA!$B$7*F33*E34</f>
        <v>11.633573607268865</v>
      </c>
      <c r="J34">
        <f>H34*'LIFE TABLE MALE'!D94/1000*F33*E33</f>
        <v>19.417926626267917</v>
      </c>
      <c r="K34">
        <f>0</f>
        <v>0</v>
      </c>
      <c r="L34" s="43">
        <f>DATA!$B$8*((1+DATA!$B$9)^A33)*F34*E34</f>
        <v>8.1007842145788281E-2</v>
      </c>
      <c r="M34">
        <f>B33*EXP(RATES!O35)*(DATA!$B$12)</f>
        <v>763.52833966106823</v>
      </c>
      <c r="N34">
        <f>C33*EXP(RATES!O35)*(DATA!$B$12)</f>
        <v>312.92145068076593</v>
      </c>
      <c r="O34">
        <f t="shared" si="4"/>
        <v>1076.4497903418342</v>
      </c>
      <c r="P34">
        <f t="shared" si="5"/>
        <v>0.94394243945245593</v>
      </c>
      <c r="Q34">
        <f>RATES!G35</f>
        <v>0.44898020595178956</v>
      </c>
      <c r="R34" s="45">
        <f t="shared" si="6"/>
        <v>32.076450515135022</v>
      </c>
      <c r="S34">
        <f t="shared" si="7"/>
        <v>14.401691358487708</v>
      </c>
      <c r="T34">
        <f>C33*EXP(RATES!O35)*(DATA!$B$6-DATA!$B$12)</f>
        <v>178.81225753186621</v>
      </c>
      <c r="U34">
        <f>B33*EXP(RATES!O35)*(DATA!$B$6-DATA!$B$12)</f>
        <v>436.30190837775319</v>
      </c>
      <c r="V34">
        <f t="shared" si="8"/>
        <v>615.11416590961937</v>
      </c>
      <c r="W34">
        <f t="shared" si="9"/>
        <v>0.53939567968711755</v>
      </c>
    </row>
    <row r="35" spans="1:23" x14ac:dyDescent="0.3">
      <c r="A35" s="5">
        <v>33</v>
      </c>
      <c r="B35">
        <f>B34*EXP(RATES!O36)*(1-DATA!$B$6)</f>
        <v>53762.439301501952</v>
      </c>
      <c r="C35">
        <f>C34*EXP(RATES!O36)*(1-DATA!$B$6)</f>
        <v>22033.786598976229</v>
      </c>
      <c r="D35">
        <f t="shared" si="2"/>
        <v>75796.225900478181</v>
      </c>
      <c r="E35">
        <f>E34*(1-'LIFE TABLE MALE'!D95/1000)</f>
        <v>0.12331571729742245</v>
      </c>
      <c r="F35">
        <f t="shared" si="3"/>
        <v>4.6862402361500894E-3</v>
      </c>
      <c r="G35">
        <f t="shared" si="0"/>
        <v>75776.225900478181</v>
      </c>
      <c r="H35">
        <f t="shared" si="1"/>
        <v>75796.225900478181</v>
      </c>
      <c r="I35">
        <f>G35*DATA!$B$7*F34*E35</f>
        <v>7.7276649930397365</v>
      </c>
      <c r="J35">
        <f>H35*'LIFE TABLE MALE'!D95/1000*F34*E34</f>
        <v>14.934601304934629</v>
      </c>
      <c r="K35">
        <f>0</f>
        <v>0</v>
      </c>
      <c r="L35" s="43">
        <f>DATA!$B$8*((1+DATA!$B$9)^A34)*F35*E35</f>
        <v>5.4452582632661027E-2</v>
      </c>
      <c r="M35">
        <f>B34*EXP(RATES!O36)*(DATA!$B$12)</f>
        <v>769.60547057364761</v>
      </c>
      <c r="N35">
        <f>C34*EXP(RATES!O36)*(DATA!$B$12)</f>
        <v>315.41207810395423</v>
      </c>
      <c r="O35">
        <f t="shared" si="4"/>
        <v>1085.0175486776018</v>
      </c>
      <c r="P35">
        <f t="shared" si="5"/>
        <v>0.62701761877553586</v>
      </c>
      <c r="Q35">
        <f>RATES!G36</f>
        <v>0.43563530089638008</v>
      </c>
      <c r="R35" s="45">
        <f t="shared" si="6"/>
        <v>23.343736499382565</v>
      </c>
      <c r="S35">
        <f t="shared" si="7"/>
        <v>10.169355673954334</v>
      </c>
      <c r="T35">
        <f>C34*EXP(RATES!O36)*(DATA!$B$6-DATA!$B$12)</f>
        <v>180.2354732022595</v>
      </c>
      <c r="U35">
        <f>B34*EXP(RATES!O36)*(DATA!$B$6-DATA!$B$12)</f>
        <v>439.77455461351281</v>
      </c>
      <c r="V35">
        <f t="shared" si="8"/>
        <v>620.01002781577233</v>
      </c>
      <c r="W35">
        <f t="shared" si="9"/>
        <v>0.35829578215744901</v>
      </c>
    </row>
    <row r="36" spans="1:23" x14ac:dyDescent="0.3">
      <c r="A36" s="5">
        <v>34</v>
      </c>
      <c r="B36">
        <f>B35*EXP(RATES!O37)*(1-DATA!$B$6)</f>
        <v>54207.218069784518</v>
      </c>
      <c r="C36">
        <f>C35*EXP(RATES!O37)*(1-DATA!$B$6)</f>
        <v>22216.072979419903</v>
      </c>
      <c r="D36">
        <f t="shared" si="2"/>
        <v>76423.291049204418</v>
      </c>
      <c r="E36">
        <f>E35*(1-'LIFE TABLE MALE'!D96/1000)</f>
        <v>9.2980118665901043E-2</v>
      </c>
      <c r="F36">
        <f t="shared" si="3"/>
        <v>3.9833042007275761E-3</v>
      </c>
      <c r="G36">
        <f t="shared" si="0"/>
        <v>76403.291049204418</v>
      </c>
      <c r="H36">
        <f t="shared" si="1"/>
        <v>76423.291049204418</v>
      </c>
      <c r="I36">
        <f>G36*DATA!$B$7*F35*E36</f>
        <v>4.9936485054276529</v>
      </c>
      <c r="J36">
        <f>H36*'LIFE TABLE MALE'!D96/1000*F35*E35</f>
        <v>10.864327634450987</v>
      </c>
      <c r="K36">
        <f>0</f>
        <v>0</v>
      </c>
      <c r="L36" s="43">
        <f>DATA!$B$8*((1+DATA!$B$9)^A35)*F36*E36</f>
        <v>3.5596659379171933E-2</v>
      </c>
      <c r="M36">
        <f>B35*EXP(RATES!O37)*(DATA!$B$12)</f>
        <v>775.97244680673145</v>
      </c>
      <c r="N36">
        <f>C35*EXP(RATES!O37)*(DATA!$B$12)</f>
        <v>318.02149459292298</v>
      </c>
      <c r="O36">
        <f t="shared" si="4"/>
        <v>1093.9939413996544</v>
      </c>
      <c r="P36">
        <f t="shared" si="5"/>
        <v>0.40518045449675705</v>
      </c>
      <c r="Q36">
        <f>RATES!G37</f>
        <v>0.42255550600771669</v>
      </c>
      <c r="R36" s="45">
        <f t="shared" si="6"/>
        <v>16.298753253754569</v>
      </c>
      <c r="S36">
        <f t="shared" si="7"/>
        <v>6.8871279284351807</v>
      </c>
      <c r="T36">
        <f>C35*EXP(RATES!O37)*(DATA!$B$6-DATA!$B$12)</f>
        <v>181.72656833881308</v>
      </c>
      <c r="U36">
        <f>B35*EXP(RATES!O37)*(DATA!$B$6-DATA!$B$12)</f>
        <v>443.41282674670356</v>
      </c>
      <c r="V36">
        <f t="shared" si="8"/>
        <v>625.13939508551664</v>
      </c>
      <c r="W36">
        <f t="shared" si="9"/>
        <v>0.23153168828386111</v>
      </c>
    </row>
    <row r="37" spans="1:23" x14ac:dyDescent="0.3">
      <c r="A37" s="6">
        <v>35</v>
      </c>
      <c r="B37">
        <f>B36*EXP(RATES!O38)*(1-DATA!$B$6)</f>
        <v>54654.035482462081</v>
      </c>
      <c r="C37">
        <f>C36*EXP(RATES!O38)*(1-DATA!$B$6)</f>
        <v>22399.194869861527</v>
      </c>
      <c r="D37">
        <f t="shared" si="2"/>
        <v>77053.230352323604</v>
      </c>
      <c r="E37">
        <f>E36*(1-'LIFE TABLE MALE'!D97/1000)</f>
        <v>6.7353135477056972E-2</v>
      </c>
      <c r="F37">
        <f t="shared" si="3"/>
        <v>3.3858085706184394E-3</v>
      </c>
      <c r="G37">
        <f t="shared" si="0"/>
        <v>77033.230352323604</v>
      </c>
      <c r="H37">
        <f t="shared" si="1"/>
        <v>77053.230352323604</v>
      </c>
      <c r="I37">
        <f>G37*DATA!$B$7*F36*E37</f>
        <v>3.1000640132217385</v>
      </c>
      <c r="J37">
        <f>H37*'LIFE TABLE MALE'!D97/1000*F36*E36</f>
        <v>7.8655991317635525</v>
      </c>
      <c r="K37">
        <f>0</f>
        <v>0</v>
      </c>
      <c r="L37" s="43">
        <f>DATA!$B$8*((1+DATA!$B$9)^A36)*F37*E37</f>
        <v>2.2356100969064117E-2</v>
      </c>
      <c r="M37">
        <f>B36*EXP(RATES!O38)*(DATA!$B$12)</f>
        <v>782.36860608841425</v>
      </c>
      <c r="N37">
        <f>C36*EXP(RATES!O38)*(DATA!$B$12)</f>
        <v>320.64287134771104</v>
      </c>
      <c r="O37">
        <f t="shared" si="4"/>
        <v>1103.0114774361252</v>
      </c>
      <c r="P37">
        <f t="shared" si="5"/>
        <v>0.25153605753183128</v>
      </c>
      <c r="Q37">
        <f>RATES!G38</f>
        <v>0.40988073390848567</v>
      </c>
      <c r="R37" s="45">
        <f t="shared" si="6"/>
        <v>11.239555303486187</v>
      </c>
      <c r="S37">
        <f t="shared" si="7"/>
        <v>4.6068771765979308</v>
      </c>
      <c r="T37">
        <f>C36*EXP(RATES!O38)*(DATA!$B$6-DATA!$B$12)</f>
        <v>183.22449791297771</v>
      </c>
      <c r="U37">
        <f>B36*EXP(RATES!O38)*(DATA!$B$6-DATA!$B$12)</f>
        <v>447.06777490766518</v>
      </c>
      <c r="V37">
        <f t="shared" si="8"/>
        <v>630.29227282064289</v>
      </c>
      <c r="W37">
        <f t="shared" si="9"/>
        <v>0.14373489001818929</v>
      </c>
    </row>
    <row r="38" spans="1:23" x14ac:dyDescent="0.3">
      <c r="A38" s="5">
        <v>36</v>
      </c>
      <c r="B38">
        <f>B37*EXP(RATES!O39)*(1-DATA!$B$6)</f>
        <v>55120.612434418937</v>
      </c>
      <c r="C38">
        <f>C37*EXP(RATES!O39)*(1-DATA!$B$6)</f>
        <v>22590.41493213893</v>
      </c>
      <c r="D38">
        <f t="shared" si="2"/>
        <v>77711.027366557872</v>
      </c>
      <c r="E38">
        <f>E37*(1-'LIFE TABLE MALE'!D98/1000)</f>
        <v>4.6772681765307828E-2</v>
      </c>
      <c r="F38">
        <f t="shared" si="3"/>
        <v>2.8779372850256733E-3</v>
      </c>
      <c r="G38">
        <f t="shared" si="0"/>
        <v>77691.027366557872</v>
      </c>
      <c r="H38">
        <f t="shared" si="1"/>
        <v>77711.027366557872</v>
      </c>
      <c r="I38">
        <f>G38*DATA!$B$7*F37*E38</f>
        <v>1.8455116664190747</v>
      </c>
      <c r="J38">
        <f>H38*'LIFE TABLE MALE'!D98/1000*F37*E37</f>
        <v>5.4150191322426249</v>
      </c>
      <c r="K38">
        <f>0</f>
        <v>0</v>
      </c>
      <c r="L38" s="43">
        <f>DATA!$B$8*((1+DATA!$B$9)^A37)*F38*E38</f>
        <v>1.3460141117876221E-2</v>
      </c>
      <c r="M38">
        <f>B37*EXP(RATES!O39)*(DATA!$B$12)</f>
        <v>789.0476217605983</v>
      </c>
      <c r="N38">
        <f>C37*EXP(RATES!O39)*(DATA!$B$12)</f>
        <v>323.3801728527045</v>
      </c>
      <c r="O38">
        <f t="shared" si="4"/>
        <v>1112.4277946133029</v>
      </c>
      <c r="P38">
        <f t="shared" si="5"/>
        <v>0.14974262032629487</v>
      </c>
      <c r="Q38">
        <f>RATES!G39</f>
        <v>0.39747018785099719</v>
      </c>
      <c r="R38" s="46">
        <f t="shared" si="6"/>
        <v>7.4237335601058705</v>
      </c>
      <c r="S38">
        <f t="shared" si="7"/>
        <v>2.9507127726910327</v>
      </c>
      <c r="T38">
        <f>C37*EXP(RATES!O39)*(DATA!$B$6-DATA!$B$12)</f>
        <v>184.78867020154539</v>
      </c>
      <c r="U38">
        <f>B37*EXP(RATES!O39)*(DATA!$B$6-DATA!$B$12)</f>
        <v>450.88435529177042</v>
      </c>
      <c r="V38">
        <f t="shared" si="8"/>
        <v>635.67302549331578</v>
      </c>
      <c r="W38">
        <f t="shared" si="9"/>
        <v>8.5567211615025618E-2</v>
      </c>
    </row>
    <row r="39" spans="1:23" x14ac:dyDescent="0.3">
      <c r="A39" s="5">
        <v>37</v>
      </c>
      <c r="B39">
        <f>B38*EXP(RATES!O40)*(1-DATA!$B$6)</f>
        <v>55607.387463046558</v>
      </c>
      <c r="C39">
        <f>C38*EXP(RATES!O40)*(1-DATA!$B$6)</f>
        <v>22789.912894691231</v>
      </c>
      <c r="D39">
        <f t="shared" si="2"/>
        <v>78397.300357737782</v>
      </c>
      <c r="E39">
        <f>E38*(1-'LIFE TABLE MALE'!D99/1000)</f>
        <v>3.1217167791388403E-2</v>
      </c>
      <c r="F39">
        <f t="shared" si="3"/>
        <v>2.4462466922718223E-3</v>
      </c>
      <c r="G39">
        <f t="shared" si="0"/>
        <v>78377.300357737782</v>
      </c>
      <c r="H39">
        <f t="shared" si="1"/>
        <v>78397.300357737782</v>
      </c>
      <c r="I39">
        <f>G39*DATA!$B$7*F38*E39</f>
        <v>1.0562248572100015</v>
      </c>
      <c r="J39">
        <f>H39*'LIFE TABLE MALE'!D99/1000*F38*E38</f>
        <v>3.5096741653894656</v>
      </c>
      <c r="K39">
        <f>0</f>
        <v>0</v>
      </c>
      <c r="L39" s="43">
        <f>DATA!$B$8*((1+DATA!$B$9)^A38)*F39*E39</f>
        <v>7.7887889828240431E-3</v>
      </c>
      <c r="M39">
        <f>B38*EXP(RATES!O40)*(DATA!$B$12)</f>
        <v>796.01577145465421</v>
      </c>
      <c r="N39">
        <f>C38*EXP(RATES!O40)*(DATA!$B$12)</f>
        <v>326.23597190764548</v>
      </c>
      <c r="O39">
        <f t="shared" si="4"/>
        <v>1122.2517433622997</v>
      </c>
      <c r="P39">
        <f t="shared" si="5"/>
        <v>8.5700634807934523E-2</v>
      </c>
      <c r="Q39">
        <f>RATES!G40</f>
        <v>0.38532302185706108</v>
      </c>
      <c r="R39" s="46">
        <f t="shared" si="6"/>
        <v>4.659388446390226</v>
      </c>
      <c r="S39">
        <f t="shared" si="7"/>
        <v>1.7953696361689588</v>
      </c>
      <c r="T39">
        <f>C38*EXP(RATES!O40)*(DATA!$B$6-DATA!$B$12)</f>
        <v>186.42055537579736</v>
      </c>
      <c r="U39">
        <f>B38*EXP(RATES!O40)*(DATA!$B$6-DATA!$B$12)</f>
        <v>454.86615511694521</v>
      </c>
      <c r="V39">
        <f t="shared" si="8"/>
        <v>641.2867104927426</v>
      </c>
      <c r="W39">
        <f t="shared" si="9"/>
        <v>4.8971791318819714E-2</v>
      </c>
    </row>
    <row r="40" spans="1:23" x14ac:dyDescent="0.3">
      <c r="A40" s="5">
        <v>38</v>
      </c>
      <c r="B40">
        <f>B39*EXP(RATES!O41)*(1-DATA!$B$6)</f>
        <v>56114.820575149643</v>
      </c>
      <c r="C40">
        <f>C39*EXP(RATES!O41)*(1-DATA!$B$6)</f>
        <v>22997.877284897411</v>
      </c>
      <c r="D40">
        <f t="shared" si="2"/>
        <v>79112.697860047047</v>
      </c>
      <c r="E40">
        <f>E39*(1-'LIFE TABLE MALE'!D100/1000)</f>
        <v>2.0085822836336076E-2</v>
      </c>
      <c r="F40">
        <f t="shared" si="3"/>
        <v>2.0793096884310488E-3</v>
      </c>
      <c r="G40">
        <f t="shared" si="0"/>
        <v>79092.697860047047</v>
      </c>
      <c r="H40">
        <f t="shared" si="1"/>
        <v>79112.697860047047</v>
      </c>
      <c r="I40">
        <f>G40*DATA!$B$7*F39*E40</f>
        <v>0.58293150515021885</v>
      </c>
      <c r="J40">
        <f>H40*'LIFE TABLE MALE'!D100/1000*F39*E39</f>
        <v>2.1542400108769337</v>
      </c>
      <c r="K40">
        <f>0</f>
        <v>0</v>
      </c>
      <c r="L40" s="43">
        <f>DATA!$B$8*((1+DATA!$B$9)^A39)*F40*E40</f>
        <v>4.3449538147644472E-3</v>
      </c>
      <c r="M40">
        <f>B39*EXP(RATES!O41)*(DATA!$B$12)</f>
        <v>803.27964013506642</v>
      </c>
      <c r="N40">
        <f>C39*EXP(RATES!O41)*(DATA!$B$12)</f>
        <v>329.21296726847015</v>
      </c>
      <c r="O40">
        <f t="shared" si="4"/>
        <v>1132.4926074035366</v>
      </c>
      <c r="P40">
        <f t="shared" si="5"/>
        <v>4.7298152872669398E-2</v>
      </c>
      <c r="Q40">
        <f>RATES!G41</f>
        <v>0.37343818647922755</v>
      </c>
      <c r="R40" s="46">
        <f t="shared" si="6"/>
        <v>2.7888146227145865</v>
      </c>
      <c r="S40">
        <f t="shared" si="7"/>
        <v>1.0414498751332864</v>
      </c>
      <c r="T40">
        <f>C39*EXP(RATES!O41)*(DATA!$B$6-DATA!$B$12)</f>
        <v>188.12169558198289</v>
      </c>
      <c r="U40">
        <f>B39*EXP(RATES!O41)*(DATA!$B$6-DATA!$B$12)</f>
        <v>459.0169372200379</v>
      </c>
      <c r="V40">
        <f t="shared" si="8"/>
        <v>647.13863280202077</v>
      </c>
      <c r="W40">
        <f t="shared" si="9"/>
        <v>2.7027515927239652E-2</v>
      </c>
    </row>
    <row r="41" spans="1:23" x14ac:dyDescent="0.3">
      <c r="A41" s="5">
        <v>39</v>
      </c>
      <c r="B41">
        <f>B40*EXP(RATES!O42)*(1-DATA!$B$6)</f>
        <v>56621.875437324168</v>
      </c>
      <c r="C41">
        <f>C40*EXP(RATES!O42)*(1-DATA!$B$6)</f>
        <v>23205.686654641067</v>
      </c>
      <c r="D41">
        <f t="shared" si="2"/>
        <v>79827.562091965228</v>
      </c>
      <c r="E41">
        <f>E40*(1-'LIFE TABLE MALE'!D101/1000)</f>
        <v>1.2471630665793342E-2</v>
      </c>
      <c r="F41">
        <f t="shared" si="3"/>
        <v>1.7674132351663914E-3</v>
      </c>
      <c r="G41">
        <f t="shared" si="0"/>
        <v>79807.562091965228</v>
      </c>
      <c r="H41">
        <f t="shared" si="1"/>
        <v>79827.562091965228</v>
      </c>
      <c r="I41">
        <f>G41*DATA!$B$7*F40*E41</f>
        <v>0.31044003367196865</v>
      </c>
      <c r="J41">
        <f>H41*'LIFE TABLE MALE'!D101/1000*F40*E40</f>
        <v>1.2638510015768472</v>
      </c>
      <c r="K41">
        <f>0</f>
        <v>0</v>
      </c>
      <c r="L41" s="43">
        <f>DATA!$B$8*((1+DATA!$B$9)^A40)*F41*E41</f>
        <v>2.3390412203611638E-3</v>
      </c>
      <c r="M41">
        <f>B40*EXP(RATES!O42)*(DATA!$B$12)</f>
        <v>810.53809419482445</v>
      </c>
      <c r="N41">
        <f>C40*EXP(RATES!O42)*(DATA!$B$12)</f>
        <v>332.1877435224693</v>
      </c>
      <c r="O41">
        <f t="shared" si="4"/>
        <v>1142.7258377172939</v>
      </c>
      <c r="P41">
        <f t="shared" si="5"/>
        <v>2.5188562963536103E-2</v>
      </c>
      <c r="Q41">
        <f>RATES!G42</f>
        <v>0.36195193998143993</v>
      </c>
      <c r="R41" s="46">
        <f t="shared" si="6"/>
        <v>1.601818639432713</v>
      </c>
      <c r="S41">
        <f t="shared" si="7"/>
        <v>0.57978136404110114</v>
      </c>
      <c r="T41">
        <f>C40*EXP(RATES!O42)*(DATA!$B$6-DATA!$B$12)</f>
        <v>189.82156772712528</v>
      </c>
      <c r="U41">
        <f>B40*EXP(RATES!O42)*(DATA!$B$6-DATA!$B$12)</f>
        <v>463.1646252541853</v>
      </c>
      <c r="V41">
        <f t="shared" si="8"/>
        <v>652.98619298131052</v>
      </c>
      <c r="W41">
        <f t="shared" si="9"/>
        <v>1.4393464550592053E-2</v>
      </c>
    </row>
    <row r="42" spans="1:23" x14ac:dyDescent="0.3">
      <c r="A42" s="6">
        <v>40</v>
      </c>
      <c r="B42">
        <f>B41*EXP(RATES!O43)*(1-DATA!$B$6)</f>
        <v>57149.058634353038</v>
      </c>
      <c r="C42">
        <f>C41*EXP(RATES!O43)*(1-DATA!$B$6)</f>
        <v>23421.745341947979</v>
      </c>
      <c r="D42">
        <f t="shared" si="2"/>
        <v>80570.803976301017</v>
      </c>
      <c r="E42">
        <f>E41*(1-'LIFE TABLE MALE'!D102/1000)</f>
        <v>7.4516144932450555E-3</v>
      </c>
      <c r="F42">
        <f t="shared" si="3"/>
        <v>1.5023012498914326E-3</v>
      </c>
      <c r="G42">
        <f t="shared" si="0"/>
        <v>80550.803976301017</v>
      </c>
      <c r="H42">
        <f t="shared" si="1"/>
        <v>80570.803976301017</v>
      </c>
      <c r="I42">
        <f>G42*DATA!$B$7*F41*E42</f>
        <v>0.15912910498120356</v>
      </c>
      <c r="J42">
        <f>H42*'LIFE TABLE MALE'!D102/1000*F41*E41</f>
        <v>0.71485986768656073</v>
      </c>
      <c r="K42">
        <f>0</f>
        <v>0</v>
      </c>
      <c r="L42" s="43">
        <f>DATA!$B$8*((1+DATA!$B$9)^A41)*F42*E42</f>
        <v>1.2116693167864463E-3</v>
      </c>
      <c r="M42">
        <f>B41*EXP(RATES!O43)*(DATA!$B$12)</f>
        <v>818.08468392734414</v>
      </c>
      <c r="N42">
        <f>C41*EXP(RATES!O43)*(DATA!$B$12)</f>
        <v>335.28060816694449</v>
      </c>
      <c r="O42">
        <f t="shared" si="4"/>
        <v>1153.3652920942886</v>
      </c>
      <c r="P42">
        <f t="shared" si="5"/>
        <v>1.2911428229083383E-2</v>
      </c>
      <c r="Q42">
        <f>RATES!G43</f>
        <v>0.35072355328981947</v>
      </c>
      <c r="R42" s="46">
        <f t="shared" si="6"/>
        <v>0.88811207021363414</v>
      </c>
      <c r="S42">
        <f t="shared" si="7"/>
        <v>0.3114818209849034</v>
      </c>
      <c r="T42">
        <f>C41*EXP(RATES!O43)*(DATA!$B$6-DATA!$B$12)</f>
        <v>191.58891895253967</v>
      </c>
      <c r="U42">
        <f>B41*EXP(RATES!O43)*(DATA!$B$6-DATA!$B$12)</f>
        <v>467.47696224419656</v>
      </c>
      <c r="V42">
        <f t="shared" si="8"/>
        <v>659.0658811967362</v>
      </c>
      <c r="W42">
        <f t="shared" si="9"/>
        <v>7.3779589880476467E-3</v>
      </c>
    </row>
    <row r="43" spans="1:23" x14ac:dyDescent="0.3">
      <c r="A43" s="5">
        <v>41</v>
      </c>
      <c r="B43">
        <f>B42*EXP(RATES!O44)*(1-DATA!$B$6)</f>
        <v>57673.806119007531</v>
      </c>
      <c r="C43">
        <f>C42*EXP(RATES!O44)*(1-DATA!$B$6)</f>
        <v>23636.805786478508</v>
      </c>
      <c r="D43">
        <f t="shared" si="2"/>
        <v>81310.611905486032</v>
      </c>
      <c r="E43">
        <f>E42*(1-'LIFE TABLE MALE'!D103/1000)</f>
        <v>4.2161420347981409E-3</v>
      </c>
      <c r="F43">
        <f t="shared" si="3"/>
        <v>1.2769560624077175E-3</v>
      </c>
      <c r="G43">
        <f t="shared" si="0"/>
        <v>81290.611905486032</v>
      </c>
      <c r="H43">
        <f t="shared" si="1"/>
        <v>81310.611905486032</v>
      </c>
      <c r="I43">
        <f>G43*DATA!$B$7*F42*E43</f>
        <v>7.7233179386109851E-2</v>
      </c>
      <c r="J43">
        <f>H43*'LIFE TABLE MALE'!D103/1000*F42*E42</f>
        <v>0.39522277688316315</v>
      </c>
      <c r="K43">
        <f>0</f>
        <v>0</v>
      </c>
      <c r="L43" s="43">
        <f>DATA!$B$8*((1+DATA!$B$9)^A42)*F43*E43</f>
        <v>5.9438530280061901E-4</v>
      </c>
      <c r="M43">
        <f>B42*EXP(RATES!O44)*(DATA!$B$12)</f>
        <v>825.59640661155981</v>
      </c>
      <c r="N43">
        <f>C42*EXP(RATES!O44)*(DATA!$B$12)</f>
        <v>338.3591830375247</v>
      </c>
      <c r="O43">
        <f t="shared" si="4"/>
        <v>1163.9555896490845</v>
      </c>
      <c r="P43">
        <f t="shared" si="5"/>
        <v>6.2665368471453448E-3</v>
      </c>
      <c r="Q43">
        <f>RATES!G44</f>
        <v>0.33988676611542612</v>
      </c>
      <c r="R43" s="46">
        <f t="shared" si="6"/>
        <v>0.47931687841921899</v>
      </c>
      <c r="S43">
        <f t="shared" si="7"/>
        <v>0.16291346375044921</v>
      </c>
      <c r="T43">
        <f>C42*EXP(RATES!O44)*(DATA!$B$6-DATA!$B$12)</f>
        <v>193.34810459287121</v>
      </c>
      <c r="U43">
        <f>B42*EXP(RATES!O44)*(DATA!$B$6-DATA!$B$12)</f>
        <v>471.7693752066055</v>
      </c>
      <c r="V43">
        <f t="shared" si="8"/>
        <v>665.11747979947677</v>
      </c>
      <c r="W43">
        <f t="shared" si="9"/>
        <v>3.5808781983687685E-3</v>
      </c>
    </row>
    <row r="44" spans="1:23" x14ac:dyDescent="0.3">
      <c r="A44" s="5">
        <v>42</v>
      </c>
      <c r="B44">
        <f>B43*EXP(RATES!O45)*(1-DATA!$B$6)</f>
        <v>58218.075242393868</v>
      </c>
      <c r="C44">
        <f>C43*EXP(RATES!O45)*(1-DATA!$B$6)</f>
        <v>23859.866902620448</v>
      </c>
      <c r="D44">
        <f t="shared" si="2"/>
        <v>82077.942145014313</v>
      </c>
      <c r="E44">
        <f>E43*(1-'LIFE TABLE MALE'!D104/1000)</f>
        <v>2.2139168837298946E-3</v>
      </c>
      <c r="F44">
        <f t="shared" si="3"/>
        <v>1.08541265304656E-3</v>
      </c>
      <c r="G44">
        <f t="shared" si="0"/>
        <v>82057.942145014313</v>
      </c>
      <c r="H44">
        <f t="shared" si="1"/>
        <v>82077.942145014313</v>
      </c>
      <c r="I44">
        <f>G44*DATA!$B$7*F43*E44</f>
        <v>3.4797588426899249E-2</v>
      </c>
      <c r="J44">
        <f>H44*'LIFE TABLE MALE'!D104/1000*F43*E43</f>
        <v>0.20985306954243529</v>
      </c>
      <c r="K44">
        <f>0</f>
        <v>0</v>
      </c>
      <c r="L44" s="43">
        <f>DATA!$B$8*((1+DATA!$B$9)^A43)*F44*E44</f>
        <v>2.7060339368842708E-4</v>
      </c>
      <c r="M44">
        <f>B43*EXP(RATES!O45)*(DATA!$B$12)</f>
        <v>833.38758015696737</v>
      </c>
      <c r="N44">
        <f>C43*EXP(RATES!O45)*(DATA!$B$12)</f>
        <v>341.55228694957697</v>
      </c>
      <c r="O44">
        <f t="shared" si="4"/>
        <v>1174.9398671065444</v>
      </c>
      <c r="P44">
        <f t="shared" si="5"/>
        <v>2.8233962429641008E-3</v>
      </c>
      <c r="Q44">
        <f>RATES!G45</f>
        <v>0.32930162970189214</v>
      </c>
      <c r="R44" s="46">
        <f t="shared" si="6"/>
        <v>0.24774465760598707</v>
      </c>
      <c r="S44">
        <f t="shared" si="7"/>
        <v>8.1582719499588813E-2</v>
      </c>
      <c r="T44">
        <f>C43*EXP(RATES!O45)*(DATA!$B$6-DATA!$B$12)</f>
        <v>195.17273539975824</v>
      </c>
      <c r="U44">
        <f>B43*EXP(RATES!O45)*(DATA!$B$6-DATA!$B$12)</f>
        <v>476.22147437540985</v>
      </c>
      <c r="V44">
        <f t="shared" si="8"/>
        <v>671.39420977516806</v>
      </c>
      <c r="W44">
        <f t="shared" si="9"/>
        <v>1.6133692816937717E-3</v>
      </c>
    </row>
    <row r="45" spans="1:23" x14ac:dyDescent="0.3">
      <c r="A45" s="5">
        <v>43</v>
      </c>
      <c r="B45">
        <f>B44*EXP(RATES!O46)*(1-DATA!$B$6)</f>
        <v>58782.32369808964</v>
      </c>
      <c r="C45">
        <f>C44*EXP(RATES!O46)*(1-DATA!$B$6)</f>
        <v>24091.11626970888</v>
      </c>
      <c r="D45">
        <f t="shared" si="2"/>
        <v>82873.43996779852</v>
      </c>
      <c r="E45">
        <f>E44*(1-'LIFE TABLE MALE'!D105/1000)</f>
        <v>1.0858367228099039E-3</v>
      </c>
      <c r="F45">
        <f t="shared" si="3"/>
        <v>9.2260075508957592E-4</v>
      </c>
      <c r="G45">
        <f t="shared" si="0"/>
        <v>82853.43996779852</v>
      </c>
      <c r="H45">
        <f t="shared" si="1"/>
        <v>82873.43996779852</v>
      </c>
      <c r="I45">
        <f>G45*DATA!$B$7*F44*E45</f>
        <v>1.4647422501506085E-2</v>
      </c>
      <c r="J45">
        <f>H45*'LIFE TABLE MALE'!D105/1000*F44*E44</f>
        <v>0.10147293165187166</v>
      </c>
      <c r="K45">
        <f>0</f>
        <v>0</v>
      </c>
      <c r="L45" s="43">
        <f>DATA!$B$8*((1+DATA!$B$9)^A44)*F45*E45</f>
        <v>1.1506826090247404E-4</v>
      </c>
      <c r="M45">
        <f>B44*EXP(RATES!O46)*(DATA!$B$12)</f>
        <v>841.4647564143711</v>
      </c>
      <c r="N45">
        <f>C44*EXP(RATES!O46)*(DATA!$B$12)</f>
        <v>344.86260508785716</v>
      </c>
      <c r="O45">
        <f t="shared" si="4"/>
        <v>1186.3273615022283</v>
      </c>
      <c r="P45">
        <f t="shared" si="5"/>
        <v>1.188455372233796E-3</v>
      </c>
      <c r="Q45">
        <f>RATES!G46</f>
        <v>0.3189655855815991</v>
      </c>
      <c r="R45" s="46">
        <f t="shared" si="6"/>
        <v>0.117423877786514</v>
      </c>
      <c r="S45">
        <f t="shared" si="7"/>
        <v>3.7454175939437569E-2</v>
      </c>
      <c r="T45">
        <f>C44*EXP(RATES!O46)*(DATA!$B$6-DATA!$B$12)</f>
        <v>197.06434576448979</v>
      </c>
      <c r="U45">
        <f>B44*EXP(RATES!O46)*(DATA!$B$6-DATA!$B$12)</f>
        <v>480.83700366535481</v>
      </c>
      <c r="V45">
        <f t="shared" si="8"/>
        <v>677.90134942984457</v>
      </c>
      <c r="W45">
        <f t="shared" si="9"/>
        <v>6.7911735556216903E-4</v>
      </c>
    </row>
    <row r="46" spans="1:23" x14ac:dyDescent="0.3">
      <c r="A46" s="5">
        <v>44</v>
      </c>
      <c r="B46">
        <f>B45*EXP(RATES!O47)*(1-DATA!$B$6)</f>
        <v>59341.600744693416</v>
      </c>
      <c r="C46">
        <f>C45*EXP(RATES!O47)*(1-DATA!$B$6)</f>
        <v>24320.328174054688</v>
      </c>
      <c r="D46">
        <f t="shared" si="2"/>
        <v>83661.928918748104</v>
      </c>
      <c r="E46">
        <f>E45*(1-'LIFE TABLE MALE'!D106/1000)</f>
        <v>4.9467420147581884E-4</v>
      </c>
      <c r="F46">
        <f t="shared" si="3"/>
        <v>7.8421064182613946E-4</v>
      </c>
      <c r="G46">
        <f t="shared" si="0"/>
        <v>83641.928918748104</v>
      </c>
      <c r="H46">
        <f t="shared" si="1"/>
        <v>83661.928918748104</v>
      </c>
      <c r="I46">
        <f>G46*DATA!$B$7*F45*E46</f>
        <v>5.7259607399404349E-3</v>
      </c>
      <c r="J46">
        <f>H46*'LIFE TABLE MALE'!D106/1000*F45*E45</f>
        <v>4.5629800708986694E-2</v>
      </c>
      <c r="K46">
        <f>0</f>
        <v>0</v>
      </c>
      <c r="L46" s="43">
        <f>DATA!$B$8*((1+DATA!$B$9)^A45)*F46*E46</f>
        <v>4.5449528580294977E-5</v>
      </c>
      <c r="M46">
        <f>B45*EXP(RATES!O47)*(DATA!$B$12)</f>
        <v>849.47076730644972</v>
      </c>
      <c r="N46">
        <f>C45*EXP(RATES!O47)*(DATA!$B$12)</f>
        <v>348.14375709280745</v>
      </c>
      <c r="O46">
        <f t="shared" si="4"/>
        <v>1197.6145243992571</v>
      </c>
      <c r="P46">
        <f t="shared" si="5"/>
        <v>4.6458913301812267E-4</v>
      </c>
      <c r="Q46">
        <f>RATES!G47</f>
        <v>0.30900832177573956</v>
      </c>
      <c r="R46" s="46">
        <f t="shared" si="6"/>
        <v>5.1865800110525551E-2</v>
      </c>
      <c r="S46">
        <f t="shared" si="7"/>
        <v>1.6026963849709468E-2</v>
      </c>
      <c r="T46">
        <f>C45*EXP(RATES!O47)*(DATA!$B$6-DATA!$B$12)</f>
        <v>198.93928976731848</v>
      </c>
      <c r="U46">
        <f>B45*EXP(RATES!O47)*(DATA!$B$6-DATA!$B$12)</f>
        <v>485.41186703225685</v>
      </c>
      <c r="V46">
        <f t="shared" si="8"/>
        <v>684.35115679957539</v>
      </c>
      <c r="W46">
        <f t="shared" si="9"/>
        <v>2.6547950458178434E-4</v>
      </c>
    </row>
    <row r="47" spans="1:23" x14ac:dyDescent="0.3">
      <c r="A47" s="6">
        <v>45</v>
      </c>
      <c r="B47">
        <f>B46*EXP(RATES!O48)*(1-DATA!$B$6)</f>
        <v>59920.163426171144</v>
      </c>
      <c r="C47">
        <f>C46*EXP(RATES!O48)*(1-DATA!$B$6)</f>
        <v>24557.444027119331</v>
      </c>
      <c r="D47">
        <f t="shared" si="2"/>
        <v>84477.607453290475</v>
      </c>
      <c r="E47">
        <f>E46*(1-'LIFE TABLE MALE'!D107/1000)</f>
        <v>2.0813801883623825E-4</v>
      </c>
      <c r="F47">
        <f t="shared" si="3"/>
        <v>6.6657904555221851E-4</v>
      </c>
      <c r="G47">
        <f t="shared" si="0"/>
        <v>84457.607453290475</v>
      </c>
      <c r="H47">
        <f t="shared" si="1"/>
        <v>84477.607453290475</v>
      </c>
      <c r="I47">
        <f>G47*DATA!$B$7*F46*E47</f>
        <v>2.0678269029139771E-3</v>
      </c>
      <c r="J47">
        <f>H47*'LIFE TABLE MALE'!D107/1000*F46*E46</f>
        <v>1.8982517441138509E-2</v>
      </c>
      <c r="K47">
        <f>0</f>
        <v>0</v>
      </c>
      <c r="L47" s="43">
        <f>DATA!$B$8*((1+DATA!$B$9)^A46)*F47*E47</f>
        <v>1.6579851462075104E-5</v>
      </c>
      <c r="M47">
        <f>B46*EXP(RATES!O48)*(DATA!$B$12)</f>
        <v>857.75285068138646</v>
      </c>
      <c r="N47">
        <f>C46*EXP(RATES!O48)*(DATA!$B$12)</f>
        <v>351.53805355794543</v>
      </c>
      <c r="O47">
        <f t="shared" si="4"/>
        <v>1209.2909042393319</v>
      </c>
      <c r="P47">
        <f t="shared" si="5"/>
        <v>1.67777554486965E-4</v>
      </c>
      <c r="Q47">
        <f>RATES!G48</f>
        <v>0.29929213083059769</v>
      </c>
      <c r="R47" s="46">
        <f t="shared" si="6"/>
        <v>2.1234701750001528E-2</v>
      </c>
      <c r="S47">
        <f t="shared" si="7"/>
        <v>6.3553791343101788E-3</v>
      </c>
      <c r="T47">
        <f>C46*EXP(RATES!O48)*(DATA!$B$6-DATA!$B$12)</f>
        <v>200.87888774739736</v>
      </c>
      <c r="U47">
        <f>B46*EXP(RATES!O48)*(DATA!$B$6-DATA!$B$12)</f>
        <v>490.14448610364934</v>
      </c>
      <c r="V47">
        <f t="shared" si="8"/>
        <v>691.0233738510467</v>
      </c>
      <c r="W47">
        <f t="shared" si="9"/>
        <v>9.5872888278265701E-5</v>
      </c>
    </row>
    <row r="48" spans="1:23" x14ac:dyDescent="0.3">
      <c r="A48" s="5">
        <v>46</v>
      </c>
      <c r="B48">
        <f>B47*EXP(RATES!O49)*(1-DATA!$B$6)</f>
        <v>60491.375318943261</v>
      </c>
      <c r="C48">
        <f>C47*EXP(RATES!O49)*(1-DATA!$B$6)</f>
        <v>24791.547261862001</v>
      </c>
      <c r="D48">
        <f t="shared" si="2"/>
        <v>85282.922580805258</v>
      </c>
      <c r="E48">
        <f>E47*(1-'LIFE TABLE MALE'!D108/1000)</f>
        <v>8.0415959354706781E-5</v>
      </c>
      <c r="F48">
        <f t="shared" si="3"/>
        <v>5.665921887193857E-4</v>
      </c>
      <c r="G48">
        <f t="shared" si="0"/>
        <v>85262.922580805258</v>
      </c>
      <c r="H48">
        <f t="shared" si="1"/>
        <v>85282.922580805258</v>
      </c>
      <c r="I48">
        <f>G48*DATA!$B$7*F47*E48</f>
        <v>6.8555985555019577E-4</v>
      </c>
      <c r="J48">
        <f>H48*'LIFE TABLE MALE'!D108/1000*F47*E47</f>
        <v>7.2607192598395558E-3</v>
      </c>
      <c r="K48">
        <f>0</f>
        <v>0</v>
      </c>
      <c r="L48" s="43">
        <f>DATA!$B$8*((1+DATA!$B$9)^A47)*F48*E48</f>
        <v>5.5538041910564841E-6</v>
      </c>
      <c r="M48">
        <f>B47*EXP(RATES!O49)*(DATA!$B$12)</f>
        <v>865.92970804213257</v>
      </c>
      <c r="N48">
        <f>C47*EXP(RATES!O49)*(DATA!$B$12)</f>
        <v>354.88922460743152</v>
      </c>
      <c r="O48">
        <f t="shared" si="4"/>
        <v>1220.818932649564</v>
      </c>
      <c r="P48">
        <f t="shared" si="5"/>
        <v>5.5624239463755392E-5</v>
      </c>
      <c r="Q48">
        <f>RATES!G49</f>
        <v>0.28994370460990543</v>
      </c>
      <c r="R48" s="46">
        <f t="shared" si="6"/>
        <v>8.0074571590445631E-3</v>
      </c>
      <c r="S48">
        <f t="shared" si="7"/>
        <v>2.3217117931984893E-3</v>
      </c>
      <c r="T48">
        <f>C47*EXP(RATES!O49)*(DATA!$B$6-DATA!$B$12)</f>
        <v>202.79384263281796</v>
      </c>
      <c r="U48">
        <f>B47*EXP(RATES!O49)*(DATA!$B$6-DATA!$B$12)</f>
        <v>494.81697602407564</v>
      </c>
      <c r="V48">
        <f t="shared" si="8"/>
        <v>697.61081865689357</v>
      </c>
      <c r="W48">
        <f t="shared" si="9"/>
        <v>3.1785279693574509E-5</v>
      </c>
    </row>
    <row r="49" spans="1:23" x14ac:dyDescent="0.3">
      <c r="A49" s="5">
        <v>47</v>
      </c>
      <c r="B49">
        <f>B48*EXP(RATES!O50)*(1-DATA!$B$6)</f>
        <v>61081.079886231302</v>
      </c>
      <c r="C49">
        <f>C48*EXP(RATES!O50)*(1-DATA!$B$6)</f>
        <v>25033.229461570212</v>
      </c>
      <c r="D49">
        <f t="shared" si="2"/>
        <v>86114.309347801522</v>
      </c>
      <c r="E49">
        <f>E48*(1-'LIFE TABLE MALE'!D109/1000)</f>
        <v>2.836260995277507E-5</v>
      </c>
      <c r="F49">
        <f t="shared" si="3"/>
        <v>4.8160336041147783E-4</v>
      </c>
      <c r="G49">
        <f t="shared" si="0"/>
        <v>86094.309347801522</v>
      </c>
      <c r="H49">
        <f t="shared" si="1"/>
        <v>86114.309347801522</v>
      </c>
      <c r="I49">
        <f>G49*DATA!$B$7*F48*E49</f>
        <v>2.0753076209034478E-4</v>
      </c>
      <c r="J49">
        <f>H49*'LIFE TABLE MALE'!D109/1000*F48*E48</f>
        <v>2.5397711484465148E-3</v>
      </c>
      <c r="K49">
        <f>0</f>
        <v>0</v>
      </c>
      <c r="L49" s="43">
        <f>DATA!$B$8*((1+DATA!$B$9)^A48)*F49*E49</f>
        <v>1.6982968593746063E-6</v>
      </c>
      <c r="M49">
        <f>B48*EXP(RATES!O50)*(DATA!$B$12)</f>
        <v>874.37128671496748</v>
      </c>
      <c r="N49">
        <f>C48*EXP(RATES!O50)*(DATA!$B$12)</f>
        <v>358.34888799793765</v>
      </c>
      <c r="O49">
        <f t="shared" si="4"/>
        <v>1232.7201747129052</v>
      </c>
      <c r="P49">
        <f t="shared" si="5"/>
        <v>1.6838376067226731E-5</v>
      </c>
      <c r="Q49">
        <f>RATES!G50</f>
        <v>0.28082727798558355</v>
      </c>
      <c r="R49" s="46">
        <f t="shared" si="6"/>
        <v>2.7658385834634608E-3</v>
      </c>
      <c r="S49">
        <f t="shared" si="7"/>
        <v>7.7672292074154592E-4</v>
      </c>
      <c r="T49">
        <f>C48*EXP(RATES!O50)*(DATA!$B$6-DATA!$B$12)</f>
        <v>204.77079314167861</v>
      </c>
      <c r="U49">
        <f>B48*EXP(RATES!O50)*(DATA!$B$6-DATA!$B$12)</f>
        <v>499.64073526569564</v>
      </c>
      <c r="V49">
        <f t="shared" si="8"/>
        <v>704.41152840737425</v>
      </c>
      <c r="W49">
        <f t="shared" si="9"/>
        <v>9.6219291812724143E-6</v>
      </c>
    </row>
    <row r="50" spans="1:23" x14ac:dyDescent="0.3">
      <c r="A50" s="5">
        <v>48</v>
      </c>
      <c r="B50">
        <f>B49*EXP(RATES!O51)*(1-DATA!$B$6)</f>
        <v>61689.708503244707</v>
      </c>
      <c r="C50">
        <f>C49*EXP(RATES!O51)*(1-DATA!$B$6)</f>
        <v>25282.667419362591</v>
      </c>
      <c r="D50">
        <f t="shared" si="2"/>
        <v>86972.375922607302</v>
      </c>
      <c r="E50">
        <f>E49*(1-'LIFE TABLE MALE'!D110/1000)</f>
        <v>9.0786411414904827E-6</v>
      </c>
      <c r="F50">
        <f t="shared" si="3"/>
        <v>4.0936285634975616E-4</v>
      </c>
      <c r="G50">
        <f t="shared" si="0"/>
        <v>86952.375922607302</v>
      </c>
      <c r="H50">
        <f t="shared" si="1"/>
        <v>86972.375922607302</v>
      </c>
      <c r="I50">
        <f>G50*DATA!$B$7*F49*E50</f>
        <v>5.7027334224142063E-5</v>
      </c>
      <c r="J50">
        <f>H50*'LIFE TABLE MALE'!D110/1000*F49*E49</f>
        <v>8.0773195279832115E-4</v>
      </c>
      <c r="K50">
        <f>0</f>
        <v>0</v>
      </c>
      <c r="L50" s="43">
        <f>DATA!$B$8*((1+DATA!$B$9)^A49)*F50*E50</f>
        <v>4.7131076692477652E-7</v>
      </c>
      <c r="M50">
        <f>B49*EXP(RATES!O51)*(DATA!$B$12)</f>
        <v>883.08376180513903</v>
      </c>
      <c r="N50">
        <f>C49*EXP(RATES!O51)*(DATA!$B$12)</f>
        <v>361.91957451030299</v>
      </c>
      <c r="O50">
        <f t="shared" si="4"/>
        <v>1245.0033363154421</v>
      </c>
      <c r="P50">
        <f t="shared" si="5"/>
        <v>4.6270031937491998E-6</v>
      </c>
      <c r="Q50">
        <f>RATES!G51</f>
        <v>0.27193939918145021</v>
      </c>
      <c r="R50" s="46">
        <f t="shared" si="6"/>
        <v>8.698576009831372E-4</v>
      </c>
      <c r="S50">
        <f t="shared" si="7"/>
        <v>2.3654855338477198E-4</v>
      </c>
      <c r="T50">
        <f>C49*EXP(RATES!O51)*(DATA!$B$6-DATA!$B$12)</f>
        <v>206.81118543445879</v>
      </c>
      <c r="U50">
        <f>B49*EXP(RATES!O51)*(DATA!$B$6-DATA!$B$12)</f>
        <v>504.61929246007935</v>
      </c>
      <c r="V50">
        <f t="shared" si="8"/>
        <v>711.43047789453817</v>
      </c>
      <c r="W50">
        <f t="shared" si="9"/>
        <v>2.6440018249995424E-6</v>
      </c>
    </row>
    <row r="51" spans="1:23" x14ac:dyDescent="0.3">
      <c r="A51" s="5">
        <v>49</v>
      </c>
      <c r="B51">
        <f>B50*EXP(RATES!O52)*(1-DATA!$B$6)</f>
        <v>62288.000622775369</v>
      </c>
      <c r="C51">
        <f>C50*EXP(RATES!O52)*(1-DATA!$B$6)</f>
        <v>25527.869107694831</v>
      </c>
      <c r="D51">
        <f t="shared" si="2"/>
        <v>87815.869730470207</v>
      </c>
      <c r="E51">
        <f>E50*(1-'LIFE TABLE MALE'!D111/1000)</f>
        <v>2.622101305262309E-6</v>
      </c>
      <c r="F51">
        <f t="shared" si="3"/>
        <v>3.4795842789729273E-4</v>
      </c>
      <c r="G51">
        <f t="shared" si="0"/>
        <v>87795.869730470207</v>
      </c>
      <c r="H51">
        <f t="shared" si="1"/>
        <v>87815.869730470207</v>
      </c>
      <c r="I51">
        <f>G51*DATA!$B$7*F50*E51</f>
        <v>1.413589288003438E-5</v>
      </c>
      <c r="J51">
        <f>H51*'LIFE TABLE MALE'!D111/1000*F50*E50</f>
        <v>2.3210327912786391E-4</v>
      </c>
      <c r="K51">
        <f>0</f>
        <v>0</v>
      </c>
      <c r="L51" s="43">
        <f>DATA!$B$8*((1+DATA!$B$9)^A50)*F51*E51</f>
        <v>1.1801985469847796E-7</v>
      </c>
      <c r="M51">
        <f>B50*EXP(RATES!O52)*(DATA!$B$12)</f>
        <v>891.64827067367605</v>
      </c>
      <c r="N51">
        <f>C50*EXP(RATES!O52)*(DATA!$B$12)</f>
        <v>365.42961912855588</v>
      </c>
      <c r="O51">
        <f t="shared" si="4"/>
        <v>1257.077889802232</v>
      </c>
      <c r="P51">
        <f t="shared" si="5"/>
        <v>1.14693555096676E-6</v>
      </c>
      <c r="Q51">
        <f>RATES!G52</f>
        <v>0.26340215020802832</v>
      </c>
      <c r="R51" s="46">
        <f t="shared" si="6"/>
        <v>2.4750412741356354E-4</v>
      </c>
      <c r="S51">
        <f t="shared" si="7"/>
        <v>6.5193119346094447E-5</v>
      </c>
      <c r="T51">
        <f>C50*EXP(RATES!O52)*(DATA!$B$6-DATA!$B$12)</f>
        <v>208.8169252163176</v>
      </c>
      <c r="U51">
        <f>B50*EXP(RATES!O52)*(DATA!$B$6-DATA!$B$12)</f>
        <v>509.51329752781476</v>
      </c>
      <c r="V51">
        <f t="shared" si="8"/>
        <v>718.33022274413236</v>
      </c>
      <c r="W51">
        <f t="shared" si="9"/>
        <v>6.5539174340957698E-7</v>
      </c>
    </row>
    <row r="52" spans="1:23" x14ac:dyDescent="0.3">
      <c r="A52" s="6">
        <v>50</v>
      </c>
      <c r="B52">
        <f>B51*EXP(RATES!O53)*(1-DATA!$B$6)</f>
        <v>62934.919514468253</v>
      </c>
      <c r="C52">
        <f>C51*EXP(RATES!O53)*(1-DATA!$B$6)</f>
        <v>25792.999801011585</v>
      </c>
      <c r="D52">
        <f t="shared" si="2"/>
        <v>88727.919315479841</v>
      </c>
      <c r="E52">
        <f>E51*(1-'LIFE TABLE MALE'!D112/1000)</f>
        <v>6.794887101443695E-7</v>
      </c>
      <c r="F52">
        <f t="shared" si="3"/>
        <v>2.957646637126988E-4</v>
      </c>
      <c r="G52">
        <f t="shared" si="0"/>
        <v>88707.919315479841</v>
      </c>
      <c r="H52">
        <f t="shared" si="1"/>
        <v>88727.919315479841</v>
      </c>
      <c r="I52">
        <f>G52*DATA!$B$7*F51*E52</f>
        <v>3.1460328788544285E-6</v>
      </c>
      <c r="J52">
        <f>H52*'LIFE TABLE MALE'!D112/1000*F51*E51</f>
        <v>5.997549728028552E-5</v>
      </c>
      <c r="K52">
        <f>E52*D52*F52</f>
        <v>1.7831539021838807E-5</v>
      </c>
      <c r="L52" s="43">
        <f>DATA!$B$8*((1+DATA!$B$9)^A51)*F52*E52</f>
        <v>2.6515935358856599E-8</v>
      </c>
      <c r="M52">
        <f>B51*EXP(RATES!O53)*(DATA!$B$12)</f>
        <v>900.90886830527154</v>
      </c>
      <c r="N52">
        <f>C51*EXP(RATES!O53)*(DATA!$B$12)</f>
        <v>369.22494602675073</v>
      </c>
      <c r="O52">
        <f t="shared" si="4"/>
        <v>1270.1338143320222</v>
      </c>
      <c r="P52">
        <f t="shared" si="5"/>
        <v>2.5525720481159848E-7</v>
      </c>
      <c r="Q52">
        <f>RATES!G53</f>
        <v>0.25495931300893881</v>
      </c>
      <c r="R52" s="46">
        <f t="shared" si="6"/>
        <v>8.1234842321149206E-5</v>
      </c>
      <c r="S52">
        <f t="shared" si="7"/>
        <v>2.071157959058967E-5</v>
      </c>
      <c r="T52">
        <f>C51*EXP(RATES!O53)*(DATA!$B$6-DATA!$B$12)</f>
        <v>210.98568344385751</v>
      </c>
      <c r="U52">
        <f>B51*EXP(RATES!O53)*(DATA!$B$6-DATA!$B$12)</f>
        <v>514.80506760301216</v>
      </c>
      <c r="V52">
        <f>T52+U52</f>
        <v>725.79075104686967</v>
      </c>
      <c r="W52">
        <f t="shared" si="9"/>
        <v>1.4586125989234196E-7</v>
      </c>
    </row>
    <row r="56" spans="1:23" x14ac:dyDescent="0.3">
      <c r="P56" s="52" t="s">
        <v>56</v>
      </c>
      <c r="Q56" s="47">
        <f>SUM(S3:S52)</f>
        <v>65083.882234568511</v>
      </c>
      <c r="T56" s="56" t="s">
        <v>59</v>
      </c>
    </row>
    <row r="57" spans="1:23" x14ac:dyDescent="0.3">
      <c r="P57" s="54" t="s">
        <v>57</v>
      </c>
      <c r="Q57" s="48">
        <f>B2+C2-Q56</f>
        <v>3716.1177654314888</v>
      </c>
      <c r="T57" s="52" t="s">
        <v>60</v>
      </c>
      <c r="U57" s="47">
        <f>SUMPRODUCT(J3:J52,Q3:Q52)</f>
        <v>4422.8946549825596</v>
      </c>
    </row>
    <row r="58" spans="1:23" x14ac:dyDescent="0.3">
      <c r="T58" s="53" t="s">
        <v>61</v>
      </c>
      <c r="U58" s="50">
        <f>SUMPRODUCT(I3:I52,Q3:Q52)</f>
        <v>55879.262239699958</v>
      </c>
    </row>
    <row r="59" spans="1:23" x14ac:dyDescent="0.3">
      <c r="P59" s="55" t="s">
        <v>58</v>
      </c>
      <c r="Q59" s="49">
        <f>SUMPRODUCT(S3:S52,A3:A52)/SUM(S3:S52)</f>
        <v>5.6132955939645344</v>
      </c>
      <c r="T59" s="53" t="s">
        <v>47</v>
      </c>
      <c r="U59" s="51">
        <f>SUMPRODUCT(L3:L52,Q3:Q52)</f>
        <v>247.61986652066759</v>
      </c>
    </row>
    <row r="60" spans="1:23" x14ac:dyDescent="0.3">
      <c r="T60" s="54" t="s">
        <v>48</v>
      </c>
      <c r="U60" s="48">
        <f>SUMPRODUCT(P3:P52,Q3:Q52)</f>
        <v>4534.1054688190316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2C572-1A93-444F-B87C-F616E6E388C0}">
  <dimension ref="A1:W60"/>
  <sheetViews>
    <sheetView topLeftCell="N42" zoomScale="96" workbookViewId="0">
      <selection activeCell="Q60" sqref="Q60"/>
    </sheetView>
  </sheetViews>
  <sheetFormatPr defaultColWidth="8.796875" defaultRowHeight="15.6" x14ac:dyDescent="0.3"/>
  <cols>
    <col min="1" max="3" width="8.796875" bestFit="1" customWidth="1"/>
    <col min="4" max="4" width="9.296875" bestFit="1" customWidth="1"/>
    <col min="5" max="5" width="13.796875" bestFit="1" customWidth="1"/>
    <col min="6" max="7" width="8.796875" bestFit="1" customWidth="1"/>
    <col min="8" max="8" width="9.19921875" bestFit="1" customWidth="1"/>
    <col min="9" max="11" width="14.296875" bestFit="1" customWidth="1"/>
    <col min="12" max="15" width="9.19921875" bestFit="1" customWidth="1"/>
    <col min="16" max="16" width="17.296875" bestFit="1" customWidth="1"/>
    <col min="17" max="17" width="9.296875" bestFit="1" customWidth="1"/>
    <col min="18" max="18" width="11.19921875" bestFit="1" customWidth="1"/>
    <col min="19" max="19" width="14.296875" bestFit="1" customWidth="1"/>
    <col min="20" max="20" width="20.296875" bestFit="1" customWidth="1"/>
    <col min="21" max="22" width="8.796875" bestFit="1" customWidth="1"/>
    <col min="23" max="23" width="13.296875" bestFit="1" customWidth="1"/>
  </cols>
  <sheetData>
    <row r="1" spans="1:23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</row>
    <row r="2" spans="1:23" x14ac:dyDescent="0.3">
      <c r="A2" s="41">
        <v>0</v>
      </c>
      <c r="B2">
        <f>DATA!B2*0.8</f>
        <v>80000</v>
      </c>
      <c r="C2">
        <f>DATA!B2*0.2*(1-DATA!E4)</f>
        <v>15000</v>
      </c>
      <c r="D2">
        <f>B2+C2</f>
        <v>95000</v>
      </c>
      <c r="E2">
        <f>1</f>
        <v>1</v>
      </c>
      <c r="F2">
        <f>1</f>
        <v>1</v>
      </c>
      <c r="G2">
        <f>D2-20</f>
        <v>94980</v>
      </c>
      <c r="H2">
        <f>MAX(D2,$B$2+$C$2)</f>
        <v>95000</v>
      </c>
      <c r="M2">
        <f>B2</f>
        <v>80000</v>
      </c>
      <c r="N2">
        <f>C2</f>
        <v>15000</v>
      </c>
      <c r="Q2">
        <f>RATES!G3</f>
        <v>1</v>
      </c>
    </row>
    <row r="3" spans="1:23" x14ac:dyDescent="0.3">
      <c r="A3" s="5">
        <v>1</v>
      </c>
      <c r="B3">
        <f>B2*EXP(RATES!O4)*(1-DATA!$B$6)</f>
        <v>80989.353600000002</v>
      </c>
      <c r="C3">
        <f>C2*EXP(RATES!O4)*(1-DATA!$B$6)</f>
        <v>15185.503799999999</v>
      </c>
      <c r="D3">
        <f>B3+C3</f>
        <v>96174.857400000008</v>
      </c>
      <c r="E3">
        <f>E2*(1-'LIFE TABLE MALE'!D63/1000)</f>
        <v>0.99353212999999996</v>
      </c>
      <c r="F3">
        <f>F2*(1-0.15)</f>
        <v>0.85</v>
      </c>
      <c r="G3">
        <f t="shared" ref="G3:G52" si="0">D3-20</f>
        <v>96154.857400000008</v>
      </c>
      <c r="H3">
        <f t="shared" ref="H3:H52" si="1">MAX(D3,$B$2+$C$2)</f>
        <v>96174.857400000008</v>
      </c>
      <c r="I3">
        <f>G3*DATA!$B$7*F2*E3</f>
        <v>14329.941042370239</v>
      </c>
      <c r="J3">
        <f>H3*'LIFE TABLE MALE'!D63/1000*F2*E2</f>
        <v>622.04647493173798</v>
      </c>
      <c r="K3">
        <f>0</f>
        <v>0</v>
      </c>
      <c r="L3" s="43">
        <f>DATA!$B$8*((1+DATA!$B$9)^A2)*F3*E3</f>
        <v>42.225115525</v>
      </c>
      <c r="M3">
        <f>B2*EXP(RATES!O4)*(DATA!$B$12)</f>
        <v>1159.3568</v>
      </c>
      <c r="N3">
        <f>C2*EXP(RATES!O4)*(DATA!$B$12)</f>
        <v>217.37939999999998</v>
      </c>
      <c r="O3">
        <f>M3+N3</f>
        <v>1376.7362000000001</v>
      </c>
      <c r="P3">
        <f>O3*E3*F3</f>
        <v>1162.6569018489899</v>
      </c>
      <c r="Q3">
        <f>RATES!G4</f>
        <v>0.96605290105686192</v>
      </c>
      <c r="R3" s="43">
        <f>P3+L3+K3+J3+I3</f>
        <v>16156.869534675967</v>
      </c>
      <c r="S3">
        <f>R3*Q3</f>
        <v>15608.390685970948</v>
      </c>
      <c r="T3">
        <f>C2*EXP(RATES!O4)*(DATA!$B$6-DATA!$B$12)</f>
        <v>124.21679999999996</v>
      </c>
      <c r="U3">
        <f>B2*EXP(RATES!O4)*(DATA!$B$6-DATA!$B$12)</f>
        <v>662.48959999999988</v>
      </c>
      <c r="V3">
        <f>T3+U3</f>
        <v>786.7063999999998</v>
      </c>
      <c r="W3">
        <f>V3*E3*F3</f>
        <v>664.37537248513695</v>
      </c>
    </row>
    <row r="4" spans="1:23" x14ac:dyDescent="0.3">
      <c r="A4" s="5">
        <v>2</v>
      </c>
      <c r="B4">
        <f>B3*EXP(RATES!O5)*(1-DATA!$B$6)</f>
        <v>81233.889418663224</v>
      </c>
      <c r="C4">
        <f>C3*EXP(RATES!O5)*(1-DATA!$B$6)</f>
        <v>15231.354265999355</v>
      </c>
      <c r="D4">
        <f t="shared" ref="D4:D52" si="2">B4+C4</f>
        <v>96465.243684662579</v>
      </c>
      <c r="E4">
        <f>E3*(1-'LIFE TABLE MALE'!D64/1000)</f>
        <v>0.98647779355864618</v>
      </c>
      <c r="F4">
        <f t="shared" ref="F4:F52" si="3">F3*(1-0.15)</f>
        <v>0.72249999999999992</v>
      </c>
      <c r="G4">
        <f t="shared" si="0"/>
        <v>96445.243684662579</v>
      </c>
      <c r="H4">
        <f t="shared" si="1"/>
        <v>96465.243684662579</v>
      </c>
      <c r="I4">
        <f>G4*DATA!$B$7*F3*E4</f>
        <v>12130.489126632167</v>
      </c>
      <c r="J4">
        <f>H4*'LIFE TABLE MALE'!D64/1000*F3*E3</f>
        <v>578.42354127147121</v>
      </c>
      <c r="K4">
        <f>0</f>
        <v>0</v>
      </c>
      <c r="L4" s="43">
        <f>DATA!$B$8*((1+DATA!$B$9)^A3)*F4*E4</f>
        <v>36.349240498152213</v>
      </c>
      <c r="M4">
        <f>B3*EXP(RATES!O5)*(DATA!$B$12)</f>
        <v>1162.8573127416005</v>
      </c>
      <c r="N4">
        <f>C3*EXP(RATES!O5)*(DATA!$B$12)</f>
        <v>218.03574613905008</v>
      </c>
      <c r="O4">
        <f t="shared" ref="O4:O52" si="4">M4+N4</f>
        <v>1380.8930588806506</v>
      </c>
      <c r="P4">
        <f t="shared" ref="P4:P52" si="5">O4*E4*F4</f>
        <v>984.20419410748696</v>
      </c>
      <c r="Q4">
        <f>RATES!G5</f>
        <v>0.94195563634332236</v>
      </c>
      <c r="R4" s="43">
        <f t="shared" ref="R4:R52" si="6">P4+L4+K4+J4+I4</f>
        <v>13729.466102509277</v>
      </c>
      <c r="S4">
        <f t="shared" ref="S4:S52" si="7">R4*Q4</f>
        <v>12932.5479792432</v>
      </c>
      <c r="T4">
        <f>C3*EXP(RATES!O5)*(DATA!$B$6-DATA!$B$12)</f>
        <v>124.59185493660001</v>
      </c>
      <c r="U4">
        <f>B3*EXP(RATES!O5)*(DATA!$B$6-DATA!$B$12)</f>
        <v>664.48989299520008</v>
      </c>
      <c r="V4">
        <f t="shared" ref="V4:V51" si="8">T4+U4</f>
        <v>789.08174793180012</v>
      </c>
      <c r="W4">
        <f t="shared" ref="W4:W52" si="9">V4*E4*F4</f>
        <v>562.40239663284956</v>
      </c>
    </row>
    <row r="5" spans="1:23" x14ac:dyDescent="0.3">
      <c r="A5" s="5">
        <v>3</v>
      </c>
      <c r="B5">
        <f>B4*EXP(RATES!O6)*(1-DATA!$B$6)</f>
        <v>81258.802918728528</v>
      </c>
      <c r="C5">
        <f>C4*EXP(RATES!O6)*(1-DATA!$B$6)</f>
        <v>15236.025547261599</v>
      </c>
      <c r="D5">
        <f t="shared" si="2"/>
        <v>96494.828465990126</v>
      </c>
      <c r="E5">
        <f>E4*(1-'LIFE TABLE MALE'!D65/1000)</f>
        <v>0.97876837095420599</v>
      </c>
      <c r="F5">
        <f t="shared" si="3"/>
        <v>0.61412499999999992</v>
      </c>
      <c r="G5">
        <f t="shared" si="0"/>
        <v>96474.828465990126</v>
      </c>
      <c r="H5">
        <f t="shared" si="1"/>
        <v>96494.828465990126</v>
      </c>
      <c r="I5">
        <f>G5*DATA!$B$7*F4*E5</f>
        <v>10233.473096651212</v>
      </c>
      <c r="J5">
        <f>H5*'LIFE TABLE MALE'!D65/1000*F4*E4</f>
        <v>537.48177501631085</v>
      </c>
      <c r="K5">
        <f>0</f>
        <v>0</v>
      </c>
      <c r="L5" s="43">
        <f>DATA!$B$8*((1+DATA!$B$9)^A4)*F5*E5</f>
        <v>31.268500264753332</v>
      </c>
      <c r="M5">
        <f>B4*EXP(RATES!O6)*(DATA!$B$12)</f>
        <v>1163.2139477118603</v>
      </c>
      <c r="N5">
        <f>C4*EXP(RATES!O6)*(DATA!$B$12)</f>
        <v>218.10261519597384</v>
      </c>
      <c r="O5">
        <f t="shared" si="4"/>
        <v>1381.3165629078342</v>
      </c>
      <c r="P5">
        <f t="shared" si="5"/>
        <v>830.2902213185655</v>
      </c>
      <c r="Q5">
        <f>RATES!G6</f>
        <v>0.92095016751412107</v>
      </c>
      <c r="R5" s="43">
        <f t="shared" si="6"/>
        <v>11632.513593250842</v>
      </c>
      <c r="S5">
        <f t="shared" si="7"/>
        <v>10712.965342314654</v>
      </c>
      <c r="T5">
        <f>C4*EXP(RATES!O6)*(DATA!$B$6-DATA!$B$12)</f>
        <v>124.63006582627074</v>
      </c>
      <c r="U5">
        <f>B4*EXP(RATES!O6)*(DATA!$B$6-DATA!$B$12)</f>
        <v>664.69368440677727</v>
      </c>
      <c r="V5">
        <f t="shared" si="8"/>
        <v>789.32375023304803</v>
      </c>
      <c r="W5">
        <f t="shared" si="9"/>
        <v>474.45155503918022</v>
      </c>
    </row>
    <row r="6" spans="1:23" x14ac:dyDescent="0.3">
      <c r="A6" s="5">
        <v>4</v>
      </c>
      <c r="B6">
        <f>B5*EXP(RATES!O7)*(1-DATA!$B$6)</f>
        <v>81219.666893987174</v>
      </c>
      <c r="C6">
        <f>C5*EXP(RATES!O7)*(1-DATA!$B$6)</f>
        <v>15228.687542622594</v>
      </c>
      <c r="D6">
        <f t="shared" si="2"/>
        <v>96448.354436609763</v>
      </c>
      <c r="E6">
        <f>E5*(1-'LIFE TABLE MALE'!D66/1000)</f>
        <v>0.97028747025977602</v>
      </c>
      <c r="F6">
        <f t="shared" si="3"/>
        <v>0.52200624999999989</v>
      </c>
      <c r="G6">
        <f t="shared" si="0"/>
        <v>96428.354436609763</v>
      </c>
      <c r="H6">
        <f t="shared" si="1"/>
        <v>96448.354436609763</v>
      </c>
      <c r="I6">
        <f>G6*DATA!$B$7*F5*E6</f>
        <v>8618.9272489206269</v>
      </c>
      <c r="J6">
        <f>H6*'LIFE TABLE MALE'!D66/1000*F5*E5</f>
        <v>502.33516061101079</v>
      </c>
      <c r="K6">
        <f>0</f>
        <v>0</v>
      </c>
      <c r="L6" s="43">
        <f>DATA!$B$8*((1+DATA!$B$9)^A5)*F6*E6</f>
        <v>26.874886925807328</v>
      </c>
      <c r="M6">
        <f>B5*EXP(RATES!O7)*(DATA!$B$12)</f>
        <v>1162.6537183188348</v>
      </c>
      <c r="N6">
        <f>C5*EXP(RATES!O7)*(DATA!$B$12)</f>
        <v>217.99757218478152</v>
      </c>
      <c r="O6">
        <f t="shared" si="4"/>
        <v>1380.6512905036163</v>
      </c>
      <c r="P6">
        <f t="shared" si="5"/>
        <v>699.2945269212945</v>
      </c>
      <c r="Q6">
        <f>RATES!G7</f>
        <v>0.90112326459071324</v>
      </c>
      <c r="R6" s="43">
        <f t="shared" si="6"/>
        <v>9847.4318233787399</v>
      </c>
      <c r="S6">
        <f t="shared" si="7"/>
        <v>8873.7499125175291</v>
      </c>
      <c r="T6">
        <f>C5*EXP(RATES!O7)*(DATA!$B$6-DATA!$B$12)</f>
        <v>124.57004124844656</v>
      </c>
      <c r="U6">
        <f>B5*EXP(RATES!O7)*(DATA!$B$6-DATA!$B$12)</f>
        <v>664.37355332504831</v>
      </c>
      <c r="V6">
        <f t="shared" si="8"/>
        <v>788.94359457349492</v>
      </c>
      <c r="W6">
        <f t="shared" si="9"/>
        <v>399.59687252645392</v>
      </c>
    </row>
    <row r="7" spans="1:23" x14ac:dyDescent="0.3">
      <c r="A7" s="6">
        <v>5</v>
      </c>
      <c r="B7">
        <f>B6*EXP(RATES!O8)*(1-DATA!$B$6)</f>
        <v>81178.572400251767</v>
      </c>
      <c r="C7">
        <f>C6*EXP(RATES!O8)*(1-DATA!$B$6)</f>
        <v>15220.982325047205</v>
      </c>
      <c r="D7">
        <f t="shared" si="2"/>
        <v>96399.554725298978</v>
      </c>
      <c r="E7">
        <f>E6*(1-'LIFE TABLE MALE'!D67/1000)</f>
        <v>0.9609215763955995</v>
      </c>
      <c r="F7">
        <f t="shared" si="3"/>
        <v>0.44370531249999989</v>
      </c>
      <c r="G7">
        <f t="shared" si="0"/>
        <v>96379.554725298978</v>
      </c>
      <c r="H7">
        <f t="shared" si="1"/>
        <v>96399.554725298978</v>
      </c>
      <c r="I7">
        <f>G7*DATA!$B$7*F6*E7</f>
        <v>7251.6998883640745</v>
      </c>
      <c r="J7">
        <f>H7*'LIFE TABLE MALE'!D67/1000*F6*E6</f>
        <v>471.3027379389448</v>
      </c>
      <c r="K7">
        <f>0</f>
        <v>0</v>
      </c>
      <c r="L7" s="43">
        <f>DATA!$B$8*((1+DATA!$B$9)^A6)*F7*E7</f>
        <v>23.075613968043037</v>
      </c>
      <c r="M7">
        <f>B6*EXP(RATES!O8)*(DATA!$B$12)</f>
        <v>1162.0654535823362</v>
      </c>
      <c r="N7">
        <f>C6*EXP(RATES!O8)*(DATA!$B$12)</f>
        <v>217.88727254668802</v>
      </c>
      <c r="O7">
        <f t="shared" si="4"/>
        <v>1379.9527261290243</v>
      </c>
      <c r="P7">
        <f t="shared" si="5"/>
        <v>588.36493554112394</v>
      </c>
      <c r="Q7">
        <f>RATES!G8</f>
        <v>0.88174468672828554</v>
      </c>
      <c r="R7" s="43">
        <f t="shared" si="6"/>
        <v>8334.4431758121864</v>
      </c>
      <c r="S7">
        <f t="shared" si="7"/>
        <v>7348.8509871112137</v>
      </c>
      <c r="T7">
        <f>C6*EXP(RATES!O8)*(DATA!$B$6-DATA!$B$12)</f>
        <v>124.5070128838217</v>
      </c>
      <c r="U7">
        <f>B6*EXP(RATES!O8)*(DATA!$B$6-DATA!$B$12)</f>
        <v>664.03740204704911</v>
      </c>
      <c r="V7">
        <f t="shared" si="8"/>
        <v>788.54441493087086</v>
      </c>
      <c r="W7">
        <f t="shared" si="9"/>
        <v>336.20853459492787</v>
      </c>
    </row>
    <row r="8" spans="1:23" x14ac:dyDescent="0.3">
      <c r="A8" s="5">
        <v>6</v>
      </c>
      <c r="B8">
        <f>B7*EXP(RATES!O9)*(1-DATA!$B$6)</f>
        <v>81192.731414463822</v>
      </c>
      <c r="C8">
        <f>C7*EXP(RATES!O9)*(1-DATA!$B$6)</f>
        <v>15223.637140211964</v>
      </c>
      <c r="D8">
        <f t="shared" si="2"/>
        <v>96416.368554675792</v>
      </c>
      <c r="E8">
        <f>E7*(1-'LIFE TABLE MALE'!D68/1000)</f>
        <v>0.95054816852958335</v>
      </c>
      <c r="F8">
        <f t="shared" si="3"/>
        <v>0.37714951562499988</v>
      </c>
      <c r="G8">
        <f t="shared" si="0"/>
        <v>96396.368554675792</v>
      </c>
      <c r="H8">
        <f t="shared" si="1"/>
        <v>96416.368554675792</v>
      </c>
      <c r="I8">
        <f>G8*DATA!$B$7*F7*E8</f>
        <v>6098.4671739480173</v>
      </c>
      <c r="J8">
        <f>H8*'LIFE TABLE MALE'!D68/1000*F7*E7</f>
        <v>443.77910778289606</v>
      </c>
      <c r="K8">
        <f>0</f>
        <v>0</v>
      </c>
      <c r="L8" s="43">
        <f>DATA!$B$8*((1+DATA!$B$9)^A7)*F8*E8</f>
        <v>19.790581122358219</v>
      </c>
      <c r="M8">
        <f>B7*EXP(RATES!O9)*(DATA!$B$12)</f>
        <v>1162.2681388573553</v>
      </c>
      <c r="N8">
        <f>C7*EXP(RATES!O9)*(DATA!$B$12)</f>
        <v>217.92527603575408</v>
      </c>
      <c r="O8">
        <f t="shared" si="4"/>
        <v>1380.1934148931093</v>
      </c>
      <c r="P8">
        <f t="shared" si="5"/>
        <v>494.79765725151765</v>
      </c>
      <c r="Q8">
        <f>RATES!G9</f>
        <v>0.86219592102620646</v>
      </c>
      <c r="R8" s="43">
        <f t="shared" si="6"/>
        <v>7056.8345201047887</v>
      </c>
      <c r="S8">
        <f t="shared" si="7"/>
        <v>6084.3739385912759</v>
      </c>
      <c r="T8">
        <f>C7*EXP(RATES!O9)*(DATA!$B$6-DATA!$B$12)</f>
        <v>124.52872916328803</v>
      </c>
      <c r="U8">
        <f>B7*EXP(RATES!O9)*(DATA!$B$6-DATA!$B$12)</f>
        <v>664.15322220420285</v>
      </c>
      <c r="V8">
        <f t="shared" si="8"/>
        <v>788.68195136749091</v>
      </c>
      <c r="W8">
        <f t="shared" si="9"/>
        <v>282.7415184294386</v>
      </c>
    </row>
    <row r="9" spans="1:23" x14ac:dyDescent="0.3">
      <c r="A9" s="5">
        <v>7</v>
      </c>
      <c r="B9">
        <f>B8*EXP(RATES!O10)*(1-DATA!$B$6)</f>
        <v>81254.382012178379</v>
      </c>
      <c r="C9">
        <f>C8*EXP(RATES!O10)*(1-DATA!$B$6)</f>
        <v>15235.196627283443</v>
      </c>
      <c r="D9">
        <f t="shared" si="2"/>
        <v>96489.578639461819</v>
      </c>
      <c r="E9">
        <f>E8*(1-'LIFE TABLE MALE'!D69/1000)</f>
        <v>0.93939989246654454</v>
      </c>
      <c r="F9">
        <f t="shared" si="3"/>
        <v>0.32057708828124987</v>
      </c>
      <c r="G9">
        <f t="shared" si="0"/>
        <v>96469.578639461819</v>
      </c>
      <c r="H9">
        <f t="shared" si="1"/>
        <v>96489.578639461819</v>
      </c>
      <c r="I9">
        <f>G9*DATA!$B$7*F8*E9</f>
        <v>5126.79203695247</v>
      </c>
      <c r="J9">
        <f>H9*'LIFE TABLE MALE'!D69/1000*F8*E8</f>
        <v>405.69689020483298</v>
      </c>
      <c r="K9">
        <f>0</f>
        <v>0</v>
      </c>
      <c r="L9" s="43">
        <f>DATA!$B$8*((1+DATA!$B$9)^A8)*F9*E9</f>
        <v>16.957195259897361</v>
      </c>
      <c r="M9">
        <f>B8*EXP(RATES!O10)*(DATA!$B$12)</f>
        <v>1163.1506627510198</v>
      </c>
      <c r="N9">
        <f>C8*EXP(RATES!O10)*(DATA!$B$12)</f>
        <v>218.09074926581619</v>
      </c>
      <c r="O9">
        <f t="shared" si="4"/>
        <v>1381.241412016836</v>
      </c>
      <c r="P9">
        <f t="shared" si="5"/>
        <v>415.96096484791587</v>
      </c>
      <c r="Q9">
        <f>RATES!G10</f>
        <v>0.84258782390013232</v>
      </c>
      <c r="R9" s="43">
        <f t="shared" si="6"/>
        <v>5965.4070872651164</v>
      </c>
      <c r="S9">
        <f t="shared" si="7"/>
        <v>5026.3793763371414</v>
      </c>
      <c r="T9">
        <f>C8*EXP(RATES!O10)*(DATA!$B$6-DATA!$B$12)</f>
        <v>124.62328529475208</v>
      </c>
      <c r="U9">
        <f>B8*EXP(RATES!O10)*(DATA!$B$6-DATA!$B$12)</f>
        <v>664.65752157201121</v>
      </c>
      <c r="V9">
        <f t="shared" si="8"/>
        <v>789.28080686676333</v>
      </c>
      <c r="W9">
        <f t="shared" si="9"/>
        <v>237.69197991309474</v>
      </c>
    </row>
    <row r="10" spans="1:23" x14ac:dyDescent="0.3">
      <c r="A10" s="5">
        <v>8</v>
      </c>
      <c r="B10">
        <f>B9*EXP(RATES!O11)*(1-DATA!$B$6)</f>
        <v>81365.273383019157</v>
      </c>
      <c r="C10">
        <f>C9*EXP(RATES!O11)*(1-DATA!$B$6)</f>
        <v>15255.988759316087</v>
      </c>
      <c r="D10">
        <f t="shared" si="2"/>
        <v>96621.262142335239</v>
      </c>
      <c r="E10">
        <f>E9*(1-'LIFE TABLE MALE'!D70/1000)</f>
        <v>0.9273775090067512</v>
      </c>
      <c r="F10">
        <f t="shared" si="3"/>
        <v>0.2724905250390624</v>
      </c>
      <c r="G10">
        <f t="shared" si="0"/>
        <v>96601.262142335239</v>
      </c>
      <c r="H10">
        <f t="shared" si="1"/>
        <v>96621.262142335239</v>
      </c>
      <c r="I10">
        <f>G10*DATA!$B$7*F9*E10</f>
        <v>4307.875057497009</v>
      </c>
      <c r="J10">
        <f>H10*'LIFE TABLE MALE'!D70/1000*F9*E9</f>
        <v>372.38807248671111</v>
      </c>
      <c r="K10">
        <f>0</f>
        <v>0</v>
      </c>
      <c r="L10" s="43">
        <f>DATA!$B$8*((1+DATA!$B$9)^A9)*F10*E10</f>
        <v>14.51373440610465</v>
      </c>
      <c r="M10">
        <f>B9*EXP(RATES!O11)*(DATA!$B$12)</f>
        <v>1164.7380647875952</v>
      </c>
      <c r="N10">
        <f>C9*EXP(RATES!O11)*(DATA!$B$12)</f>
        <v>218.38838714767405</v>
      </c>
      <c r="O10">
        <f t="shared" si="4"/>
        <v>1383.1264519352694</v>
      </c>
      <c r="P10">
        <f t="shared" si="5"/>
        <v>349.5182457447624</v>
      </c>
      <c r="Q10">
        <f>RATES!G11</f>
        <v>0.82292780659029441</v>
      </c>
      <c r="R10" s="43">
        <f t="shared" si="6"/>
        <v>5044.295110134587</v>
      </c>
      <c r="S10">
        <f t="shared" si="7"/>
        <v>4151.0907107772036</v>
      </c>
      <c r="T10">
        <f>C9*EXP(RATES!O11)*(DATA!$B$6-DATA!$B$12)</f>
        <v>124.79336408438515</v>
      </c>
      <c r="U10">
        <f>B9*EXP(RATES!O11)*(DATA!$B$6-DATA!$B$12)</f>
        <v>665.56460845005427</v>
      </c>
      <c r="V10">
        <f t="shared" si="8"/>
        <v>790.35797253443945</v>
      </c>
      <c r="W10">
        <f t="shared" si="9"/>
        <v>199.72471185414986</v>
      </c>
    </row>
    <row r="11" spans="1:23" x14ac:dyDescent="0.3">
      <c r="A11" s="5">
        <v>9</v>
      </c>
      <c r="B11">
        <f>B10*EXP(RATES!O12)*(1-DATA!$B$6)</f>
        <v>81523.24029763104</v>
      </c>
      <c r="C11">
        <f>C10*EXP(RATES!O12)*(1-DATA!$B$6)</f>
        <v>15285.607555805815</v>
      </c>
      <c r="D11">
        <f t="shared" si="2"/>
        <v>96808.847853436862</v>
      </c>
      <c r="E11">
        <f>E10*(1-'LIFE TABLE MALE'!D71/1000)</f>
        <v>0.91441741759215689</v>
      </c>
      <c r="F11">
        <f t="shared" si="3"/>
        <v>0.23161694628320303</v>
      </c>
      <c r="G11">
        <f t="shared" si="0"/>
        <v>96788.847853436862</v>
      </c>
      <c r="H11">
        <f t="shared" si="1"/>
        <v>96808.847853436862</v>
      </c>
      <c r="I11">
        <f>G11*DATA!$B$7*F10*E11</f>
        <v>3617.5327767090539</v>
      </c>
      <c r="J11">
        <f>H11*'LIFE TABLE MALE'!D71/1000*F10*E10</f>
        <v>341.88065085964661</v>
      </c>
      <c r="K11">
        <f>0</f>
        <v>0</v>
      </c>
      <c r="L11" s="43">
        <f>DATA!$B$8*((1+DATA!$B$9)^A10)*F11*E11</f>
        <v>12.407554732898763</v>
      </c>
      <c r="M11">
        <f>B10*EXP(RATES!O12)*(DATA!$B$12)</f>
        <v>1166.9993498638389</v>
      </c>
      <c r="N11">
        <f>C10*EXP(RATES!O12)*(DATA!$B$12)</f>
        <v>218.81237809946973</v>
      </c>
      <c r="O11">
        <f t="shared" si="4"/>
        <v>1385.8117279633086</v>
      </c>
      <c r="P11">
        <f t="shared" si="5"/>
        <v>293.50739887370935</v>
      </c>
      <c r="Q11">
        <f>RATES!G12</f>
        <v>0.80326389514893892</v>
      </c>
      <c r="R11" s="43">
        <f t="shared" si="6"/>
        <v>4265.3283811753081</v>
      </c>
      <c r="S11">
        <f t="shared" si="7"/>
        <v>3426.1842895521959</v>
      </c>
      <c r="T11">
        <f>C10*EXP(RATES!O12)*(DATA!$B$6-DATA!$B$12)</f>
        <v>125.0356446282684</v>
      </c>
      <c r="U11">
        <f>B10*EXP(RATES!O12)*(DATA!$B$6-DATA!$B$12)</f>
        <v>666.85677135076503</v>
      </c>
      <c r="V11">
        <f t="shared" si="8"/>
        <v>791.89241597903344</v>
      </c>
      <c r="W11">
        <f t="shared" si="9"/>
        <v>167.71851364211958</v>
      </c>
    </row>
    <row r="12" spans="1:23" x14ac:dyDescent="0.3">
      <c r="A12" s="6">
        <v>10</v>
      </c>
      <c r="B12">
        <f>B11*EXP(RATES!O13)*(1-DATA!$B$6)</f>
        <v>81742.119978905175</v>
      </c>
      <c r="C12">
        <f>C11*EXP(RATES!O13)*(1-DATA!$B$6)</f>
        <v>15326.647496044714</v>
      </c>
      <c r="D12">
        <f t="shared" si="2"/>
        <v>97068.767474949884</v>
      </c>
      <c r="E12">
        <f>E11*(1-'LIFE TABLE MALE'!D72/1000)</f>
        <v>0.90009759511179277</v>
      </c>
      <c r="F12">
        <f t="shared" si="3"/>
        <v>0.19687440434072256</v>
      </c>
      <c r="G12">
        <f t="shared" si="0"/>
        <v>97048.767474949884</v>
      </c>
      <c r="H12">
        <f t="shared" si="1"/>
        <v>97068.767474949884</v>
      </c>
      <c r="I12">
        <f>G12*DATA!$B$7*F11*E12</f>
        <v>3034.8778504937086</v>
      </c>
      <c r="J12">
        <f>H12*'LIFE TABLE MALE'!D72/1000*F11*E11</f>
        <v>321.94929677554575</v>
      </c>
      <c r="K12">
        <f>0</f>
        <v>0</v>
      </c>
      <c r="L12" s="43">
        <f>DATA!$B$8*((1+DATA!$B$9)^A11)*F12*E12</f>
        <v>10.588889315285121</v>
      </c>
      <c r="M12">
        <f>B11*EXP(RATES!O13)*(DATA!$B$12)</f>
        <v>1170.1325968350434</v>
      </c>
      <c r="N12">
        <f>C11*EXP(RATES!O13)*(DATA!$B$12)</f>
        <v>219.39986190657055</v>
      </c>
      <c r="O12">
        <f t="shared" si="4"/>
        <v>1389.5324587416139</v>
      </c>
      <c r="P12">
        <f t="shared" si="5"/>
        <v>246.23373606234733</v>
      </c>
      <c r="Q12">
        <f>RATES!G13</f>
        <v>0.78348852098697186</v>
      </c>
      <c r="R12" s="43">
        <f t="shared" si="6"/>
        <v>3613.649772646887</v>
      </c>
      <c r="S12">
        <f t="shared" si="7"/>
        <v>2831.2531157360168</v>
      </c>
      <c r="T12">
        <f>C11*EXP(RATES!O13)*(DATA!$B$6-DATA!$B$12)</f>
        <v>125.37134966089742</v>
      </c>
      <c r="U12">
        <f>B11*EXP(RATES!O13)*(DATA!$B$6-DATA!$B$12)</f>
        <v>668.64719819145319</v>
      </c>
      <c r="V12">
        <f t="shared" si="8"/>
        <v>794.01854785235059</v>
      </c>
      <c r="W12">
        <f t="shared" si="9"/>
        <v>140.70499203562701</v>
      </c>
    </row>
    <row r="13" spans="1:23" x14ac:dyDescent="0.3">
      <c r="A13" s="5">
        <v>11</v>
      </c>
      <c r="B13">
        <f>B12*EXP(RATES!O14)*(1-DATA!$B$6)</f>
        <v>82068.023997806304</v>
      </c>
      <c r="C13">
        <f>C12*EXP(RATES!O14)*(1-DATA!$B$6)</f>
        <v>15387.754499588675</v>
      </c>
      <c r="D13">
        <f t="shared" si="2"/>
        <v>97455.778497394975</v>
      </c>
      <c r="E13">
        <f>E12*(1-'LIFE TABLE MALE'!D73/1000)</f>
        <v>0.88436966777579928</v>
      </c>
      <c r="F13">
        <f t="shared" si="3"/>
        <v>0.16734324368961417</v>
      </c>
      <c r="G13">
        <f t="shared" si="0"/>
        <v>97435.778497394975</v>
      </c>
      <c r="H13">
        <f t="shared" si="1"/>
        <v>97455.778497394975</v>
      </c>
      <c r="I13">
        <f>G13*DATA!$B$7*F12*E13</f>
        <v>2544.6778780908021</v>
      </c>
      <c r="J13">
        <f>H13*'LIFE TABLE MALE'!D73/1000*F12*E12</f>
        <v>301.76463813948732</v>
      </c>
      <c r="K13">
        <f>0</f>
        <v>0</v>
      </c>
      <c r="L13" s="43">
        <f>DATA!$B$8*((1+DATA!$B$9)^A12)*F13*E13</f>
        <v>9.0201496637971381</v>
      </c>
      <c r="M13">
        <f>B12*EXP(RATES!O14)*(DATA!$B$12)</f>
        <v>1174.7978895391495</v>
      </c>
      <c r="N13">
        <f>C12*EXP(RATES!O14)*(DATA!$B$12)</f>
        <v>220.27460428859044</v>
      </c>
      <c r="O13">
        <f t="shared" si="4"/>
        <v>1395.0724938277399</v>
      </c>
      <c r="P13">
        <f t="shared" si="5"/>
        <v>206.4613665126875</v>
      </c>
      <c r="Q13">
        <f>RATES!G14</f>
        <v>0.76320887666583526</v>
      </c>
      <c r="R13" s="43">
        <f t="shared" si="6"/>
        <v>3061.9240324067741</v>
      </c>
      <c r="S13">
        <f t="shared" si="7"/>
        <v>2336.8876012092987</v>
      </c>
      <c r="T13">
        <f>C12*EXP(RATES!O14)*(DATA!$B$6-DATA!$B$12)</f>
        <v>125.87120245062309</v>
      </c>
      <c r="U13">
        <f>B12*EXP(RATES!O14)*(DATA!$B$6-DATA!$B$12)</f>
        <v>671.31307973665673</v>
      </c>
      <c r="V13">
        <f t="shared" si="8"/>
        <v>797.18428218727979</v>
      </c>
      <c r="W13">
        <f t="shared" si="9"/>
        <v>117.97792372153567</v>
      </c>
    </row>
    <row r="14" spans="1:23" x14ac:dyDescent="0.3">
      <c r="A14" s="5">
        <v>12</v>
      </c>
      <c r="B14">
        <f>B13*EXP(RATES!O15)*(1-DATA!$B$6)</f>
        <v>82258.656528029838</v>
      </c>
      <c r="C14">
        <f>C13*EXP(RATES!O15)*(1-DATA!$B$6)</f>
        <v>15423.498099005588</v>
      </c>
      <c r="D14">
        <f t="shared" si="2"/>
        <v>97682.15462703543</v>
      </c>
      <c r="E14">
        <f>E13*(1-'LIFE TABLE MALE'!D74/1000)</f>
        <v>0.86691443914546784</v>
      </c>
      <c r="F14">
        <f t="shared" si="3"/>
        <v>0.14224175713617204</v>
      </c>
      <c r="G14">
        <f t="shared" si="0"/>
        <v>97662.15462703543</v>
      </c>
      <c r="H14">
        <f t="shared" si="1"/>
        <v>97682.15462703543</v>
      </c>
      <c r="I14">
        <f>G14*DATA!$B$7*F13*E14</f>
        <v>2125.2106319550703</v>
      </c>
      <c r="J14">
        <f>H14*'LIFE TABLE MALE'!D74/1000*F13*E13</f>
        <v>285.33099770957369</v>
      </c>
      <c r="K14">
        <f>0</f>
        <v>0</v>
      </c>
      <c r="L14" s="43">
        <f>DATA!$B$8*((1+DATA!$B$9)^A13)*F14*E14</f>
        <v>7.6661133930628793</v>
      </c>
      <c r="M14">
        <f>B13*EXP(RATES!O15)*(DATA!$B$12)</f>
        <v>1177.5267805648443</v>
      </c>
      <c r="N14">
        <f>C13*EXP(RATES!O15)*(DATA!$B$12)</f>
        <v>220.78627135590821</v>
      </c>
      <c r="O14">
        <f t="shared" si="4"/>
        <v>1398.3130519207525</v>
      </c>
      <c r="P14">
        <f t="shared" si="5"/>
        <v>172.42798636984315</v>
      </c>
      <c r="Q14">
        <f>RATES!G15</f>
        <v>0.74468847430975171</v>
      </c>
      <c r="R14" s="44">
        <f t="shared" si="6"/>
        <v>2590.6357294275499</v>
      </c>
      <c r="S14">
        <f t="shared" si="7"/>
        <v>1929.2165688397329</v>
      </c>
      <c r="T14">
        <f>C13*EXP(RATES!O15)*(DATA!$B$6-DATA!$B$12)</f>
        <v>126.16358363194752</v>
      </c>
      <c r="U14">
        <f>B13*EXP(RATES!O15)*(DATA!$B$6-DATA!$B$12)</f>
        <v>672.87244603705381</v>
      </c>
      <c r="V14">
        <f t="shared" si="8"/>
        <v>799.03602966900132</v>
      </c>
      <c r="W14">
        <f t="shared" si="9"/>
        <v>98.530277925624631</v>
      </c>
    </row>
    <row r="15" spans="1:23" x14ac:dyDescent="0.3">
      <c r="A15" s="5">
        <v>13</v>
      </c>
      <c r="B15">
        <f>B14*EXP(RATES!O16)*(1-DATA!$B$6)</f>
        <v>82502.039008492662</v>
      </c>
      <c r="C15">
        <f>C14*EXP(RATES!O16)*(1-DATA!$B$6)</f>
        <v>15469.132314092369</v>
      </c>
      <c r="D15">
        <f t="shared" si="2"/>
        <v>97971.171322585025</v>
      </c>
      <c r="E15">
        <f>E14*(1-'LIFE TABLE MALE'!D75/1000)</f>
        <v>0.84808352308867097</v>
      </c>
      <c r="F15">
        <f t="shared" si="3"/>
        <v>0.12090549356574623</v>
      </c>
      <c r="G15">
        <f t="shared" si="0"/>
        <v>97951.171322585025</v>
      </c>
      <c r="H15">
        <f t="shared" si="1"/>
        <v>97971.171322585025</v>
      </c>
      <c r="I15">
        <f>G15*DATA!$B$7*F14*E15</f>
        <v>1772.4199390042647</v>
      </c>
      <c r="J15">
        <f>H15*'LIFE TABLE MALE'!D75/1000*F14*E14</f>
        <v>262.41995482322557</v>
      </c>
      <c r="K15">
        <f>0</f>
        <v>0</v>
      </c>
      <c r="L15" s="43">
        <f>DATA!$B$8*((1+DATA!$B$9)^A14)*F15*E15</f>
        <v>6.5021461262725833</v>
      </c>
      <c r="M15">
        <f>B14*EXP(RATES!O16)*(DATA!$B$12)</f>
        <v>1181.0107833526558</v>
      </c>
      <c r="N15">
        <f>C14*EXP(RATES!O16)*(DATA!$B$12)</f>
        <v>221.43952187862288</v>
      </c>
      <c r="O15">
        <f t="shared" si="4"/>
        <v>1402.4503052312787</v>
      </c>
      <c r="P15">
        <f t="shared" si="5"/>
        <v>143.80438901392233</v>
      </c>
      <c r="Q15">
        <f>RATES!G16</f>
        <v>0.72615681422166556</v>
      </c>
      <c r="R15" s="44">
        <f t="shared" si="6"/>
        <v>2185.1464289676851</v>
      </c>
      <c r="S15">
        <f t="shared" si="7"/>
        <v>1586.7589694670232</v>
      </c>
      <c r="T15">
        <f>C14*EXP(RATES!O16)*(DATA!$B$6-DATA!$B$12)</f>
        <v>126.53686964492734</v>
      </c>
      <c r="U15">
        <f>B14*EXP(RATES!O16)*(DATA!$B$6-DATA!$B$12)</f>
        <v>674.86330477294598</v>
      </c>
      <c r="V15">
        <f t="shared" si="8"/>
        <v>801.40017441787336</v>
      </c>
      <c r="W15">
        <f t="shared" si="9"/>
        <v>82.173936579384176</v>
      </c>
    </row>
    <row r="16" spans="1:23" x14ac:dyDescent="0.3">
      <c r="A16" s="5">
        <v>14</v>
      </c>
      <c r="B16">
        <f>B15*EXP(RATES!O17)*(1-DATA!$B$6)</f>
        <v>82776.822411940768</v>
      </c>
      <c r="C16">
        <f>C15*EXP(RATES!O17)*(1-DATA!$B$6)</f>
        <v>15520.654202238889</v>
      </c>
      <c r="D16">
        <f t="shared" si="2"/>
        <v>98297.476614179657</v>
      </c>
      <c r="E16">
        <f>E15*(1-'LIFE TABLE MALE'!D76/1000)</f>
        <v>0.82779649169036118</v>
      </c>
      <c r="F16">
        <f t="shared" si="3"/>
        <v>0.10276966953088429</v>
      </c>
      <c r="G16">
        <f t="shared" si="0"/>
        <v>98277.476614179657</v>
      </c>
      <c r="H16">
        <f t="shared" si="1"/>
        <v>98297.476614179657</v>
      </c>
      <c r="I16">
        <f>G16*DATA!$B$7*F15*E16</f>
        <v>1475.4173009853389</v>
      </c>
      <c r="J16">
        <f>H16*'LIFE TABLE MALE'!D76/1000*F15*E15</f>
        <v>241.10538199959228</v>
      </c>
      <c r="K16">
        <f>0</f>
        <v>0</v>
      </c>
      <c r="L16" s="43">
        <f>DATA!$B$8*((1+DATA!$B$9)^A15)*F16*E16</f>
        <v>5.5025092172566552</v>
      </c>
      <c r="M16">
        <f>B15*EXP(RATES!O17)*(DATA!$B$12)</f>
        <v>1184.9442881054915</v>
      </c>
      <c r="N16">
        <f>C15*EXP(RATES!O17)*(DATA!$B$12)</f>
        <v>222.1770540197796</v>
      </c>
      <c r="O16">
        <f t="shared" si="4"/>
        <v>1407.1213421252712</v>
      </c>
      <c r="P16">
        <f t="shared" si="5"/>
        <v>119.70715011141722</v>
      </c>
      <c r="Q16">
        <f>RATES!G17</f>
        <v>0.70782386801134656</v>
      </c>
      <c r="R16" s="44">
        <f t="shared" si="6"/>
        <v>1841.7323423136049</v>
      </c>
      <c r="S16">
        <f t="shared" si="7"/>
        <v>1303.6221103780133</v>
      </c>
      <c r="T16">
        <f>C15*EXP(RATES!O17)*(DATA!$B$6-DATA!$B$12)</f>
        <v>126.95831658273119</v>
      </c>
      <c r="U16">
        <f>B15*EXP(RATES!O17)*(DATA!$B$6-DATA!$B$12)</f>
        <v>677.11102177456644</v>
      </c>
      <c r="V16">
        <f t="shared" si="8"/>
        <v>804.06933835729762</v>
      </c>
      <c r="W16">
        <f t="shared" si="9"/>
        <v>68.404085777952687</v>
      </c>
    </row>
    <row r="17" spans="1:23" x14ac:dyDescent="0.3">
      <c r="A17" s="6">
        <v>15</v>
      </c>
      <c r="B17">
        <f>B16*EXP(RATES!O18)*(1-DATA!$B$6)</f>
        <v>82966.673538954565</v>
      </c>
      <c r="C17">
        <f>C16*EXP(RATES!O18)*(1-DATA!$B$6)</f>
        <v>15556.251288553976</v>
      </c>
      <c r="D17">
        <f t="shared" si="2"/>
        <v>98522.924827508541</v>
      </c>
      <c r="E17">
        <f>E16*(1-'LIFE TABLE MALE'!D77/1000)</f>
        <v>0.80629125769035137</v>
      </c>
      <c r="F17">
        <f t="shared" si="3"/>
        <v>8.7354219101251643E-2</v>
      </c>
      <c r="G17">
        <f t="shared" si="0"/>
        <v>98502.924827508541</v>
      </c>
      <c r="H17">
        <f t="shared" si="1"/>
        <v>98522.924827508541</v>
      </c>
      <c r="I17">
        <f>G17*DATA!$B$7*F16*E17</f>
        <v>1224.3266307890897</v>
      </c>
      <c r="J17">
        <f>H17*'LIFE TABLE MALE'!D77/1000*F16*E16</f>
        <v>217.74411628503259</v>
      </c>
      <c r="K17">
        <f>0</f>
        <v>0</v>
      </c>
      <c r="L17" s="43">
        <f>DATA!$B$8*((1+DATA!$B$9)^A16)*F17*E17</f>
        <v>4.6467386375457433</v>
      </c>
      <c r="M17">
        <f>B16*EXP(RATES!O18)*(DATA!$B$12)</f>
        <v>1187.6619934001676</v>
      </c>
      <c r="N17">
        <f>C16*EXP(RATES!O18)*(DATA!$B$12)</f>
        <v>222.68662376253135</v>
      </c>
      <c r="O17">
        <f t="shared" si="4"/>
        <v>1410.3486171626989</v>
      </c>
      <c r="P17">
        <f t="shared" si="5"/>
        <v>99.335004021839694</v>
      </c>
      <c r="Q17">
        <f>RATES!G18</f>
        <v>0.6906676758678868</v>
      </c>
      <c r="R17" s="44">
        <f t="shared" si="6"/>
        <v>1546.0524897335076</v>
      </c>
      <c r="S17">
        <f t="shared" si="7"/>
        <v>1067.8084798540017</v>
      </c>
      <c r="T17">
        <f>C16*EXP(RATES!O18)*(DATA!$B$6-DATA!$B$12)</f>
        <v>127.24949929287503</v>
      </c>
      <c r="U17">
        <f>B16*EXP(RATES!O18)*(DATA!$B$6-DATA!$B$12)</f>
        <v>678.66399622866709</v>
      </c>
      <c r="V17">
        <f t="shared" si="8"/>
        <v>805.91349552154213</v>
      </c>
      <c r="W17">
        <f t="shared" si="9"/>
        <v>56.762859441051248</v>
      </c>
    </row>
    <row r="18" spans="1:23" x14ac:dyDescent="0.3">
      <c r="A18" s="5">
        <v>16</v>
      </c>
      <c r="B18">
        <f>B17*EXP(RATES!O19)*(1-DATA!$B$6)</f>
        <v>83012.664280582845</v>
      </c>
      <c r="C18">
        <f>C17*EXP(RATES!O19)*(1-DATA!$B$6)</f>
        <v>15564.874552609279</v>
      </c>
      <c r="D18">
        <f t="shared" si="2"/>
        <v>98577.538833192128</v>
      </c>
      <c r="E18">
        <f>E17*(1-'LIFE TABLE MALE'!D78/1000)</f>
        <v>0.78272955654492149</v>
      </c>
      <c r="F18">
        <f t="shared" si="3"/>
        <v>7.4251086236063898E-2</v>
      </c>
      <c r="G18">
        <f t="shared" si="0"/>
        <v>98557.538833192128</v>
      </c>
      <c r="H18">
        <f t="shared" si="1"/>
        <v>98577.538833192128</v>
      </c>
      <c r="I18">
        <f>G18*DATA!$B$7*F17*E18</f>
        <v>1010.8267539469047</v>
      </c>
      <c r="J18">
        <f>H18*'LIFE TABLE MALE'!D78/1000*F17*E17</f>
        <v>202.89367093157517</v>
      </c>
      <c r="K18">
        <f>0</f>
        <v>0</v>
      </c>
      <c r="L18" s="43">
        <f>DATA!$B$8*((1+DATA!$B$9)^A17)*F18*E18</f>
        <v>3.9109937836246558</v>
      </c>
      <c r="M18">
        <f>B17*EXP(RATES!O19)*(DATA!$B$12)</f>
        <v>1188.3203475748055</v>
      </c>
      <c r="N18">
        <f>C17*EXP(RATES!O19)*(DATA!$B$12)</f>
        <v>222.81006517027598</v>
      </c>
      <c r="O18">
        <f t="shared" si="4"/>
        <v>1411.1304127450815</v>
      </c>
      <c r="P18">
        <f t="shared" si="5"/>
        <v>82.012810837081602</v>
      </c>
      <c r="Q18">
        <f>RATES!G19</f>
        <v>0.67509876092267374</v>
      </c>
      <c r="R18" s="44">
        <f t="shared" si="6"/>
        <v>1299.6442294991862</v>
      </c>
      <c r="S18">
        <f t="shared" si="7"/>
        <v>877.38820897520361</v>
      </c>
      <c r="T18">
        <f>C17*EXP(RATES!O19)*(DATA!$B$6-DATA!$B$12)</f>
        <v>127.32003724015767</v>
      </c>
      <c r="U18">
        <f>B17*EXP(RATES!O19)*(DATA!$B$6-DATA!$B$12)</f>
        <v>679.04019861417453</v>
      </c>
      <c r="V18">
        <f t="shared" si="8"/>
        <v>806.36023585433225</v>
      </c>
      <c r="W18">
        <f t="shared" si="9"/>
        <v>46.8644633354752</v>
      </c>
    </row>
    <row r="19" spans="1:23" x14ac:dyDescent="0.3">
      <c r="A19" s="5">
        <v>17</v>
      </c>
      <c r="B19">
        <f>B18*EXP(RATES!O20)*(1-DATA!$B$6)</f>
        <v>82929.076023361471</v>
      </c>
      <c r="C19">
        <f>C18*EXP(RATES!O20)*(1-DATA!$B$6)</f>
        <v>15549.20175438027</v>
      </c>
      <c r="D19">
        <f t="shared" si="2"/>
        <v>98478.277777741736</v>
      </c>
      <c r="E19">
        <f>E18*(1-'LIFE TABLE MALE'!D79/1000)</f>
        <v>0.75700168217713715</v>
      </c>
      <c r="F19">
        <f t="shared" si="3"/>
        <v>6.3113423300654309E-2</v>
      </c>
      <c r="G19">
        <f t="shared" si="0"/>
        <v>98458.277777741736</v>
      </c>
      <c r="H19">
        <f t="shared" si="1"/>
        <v>98478.277777741736</v>
      </c>
      <c r="I19">
        <f>G19*DATA!$B$7*F18*E19</f>
        <v>830.12434376191197</v>
      </c>
      <c r="J19">
        <f>H19*'LIFE TABLE MALE'!D79/1000*F18*E18</f>
        <v>188.12528145526699</v>
      </c>
      <c r="K19">
        <f>0</f>
        <v>0</v>
      </c>
      <c r="L19" s="43">
        <f>DATA!$B$8*((1+DATA!$B$9)^A18)*F19*E19</f>
        <v>3.2793769081426625</v>
      </c>
      <c r="M19">
        <f>B18*EXP(RATES!O20)*(DATA!$B$12)</f>
        <v>1187.1237876554812</v>
      </c>
      <c r="N19">
        <f>C18*EXP(RATES!O20)*(DATA!$B$12)</f>
        <v>222.58571018540266</v>
      </c>
      <c r="O19">
        <f t="shared" si="4"/>
        <v>1409.7094978408838</v>
      </c>
      <c r="P19">
        <f t="shared" si="5"/>
        <v>67.351645012994055</v>
      </c>
      <c r="Q19">
        <f>RATES!G20</f>
        <v>0.66091208289531467</v>
      </c>
      <c r="R19" s="44">
        <f t="shared" si="6"/>
        <v>1088.8806471383157</v>
      </c>
      <c r="S19">
        <f t="shared" si="7"/>
        <v>719.6543765245824</v>
      </c>
      <c r="T19">
        <f>C18*EXP(RATES!O20)*(DATA!$B$6-DATA!$B$12)</f>
        <v>127.19183439165863</v>
      </c>
      <c r="U19">
        <f>B18*EXP(RATES!O20)*(DATA!$B$6-DATA!$B$12)</f>
        <v>678.35645008884626</v>
      </c>
      <c r="V19">
        <f t="shared" si="8"/>
        <v>805.54828448050489</v>
      </c>
      <c r="W19">
        <f t="shared" si="9"/>
        <v>38.486654293139452</v>
      </c>
    </row>
    <row r="20" spans="1:23" x14ac:dyDescent="0.3">
      <c r="A20" s="5">
        <v>18</v>
      </c>
      <c r="B20">
        <f>B19*EXP(RATES!O21)*(1-DATA!$B$6)</f>
        <v>82813.18390319946</v>
      </c>
      <c r="C20">
        <f>C19*EXP(RATES!O21)*(1-DATA!$B$6)</f>
        <v>15527.471981849892</v>
      </c>
      <c r="D20">
        <f t="shared" si="2"/>
        <v>98340.655885049346</v>
      </c>
      <c r="E20">
        <f>E19*(1-'LIFE TABLE MALE'!D80/1000)</f>
        <v>0.72857800254523786</v>
      </c>
      <c r="F20">
        <f t="shared" si="3"/>
        <v>5.3646409805556163E-2</v>
      </c>
      <c r="G20">
        <f t="shared" si="0"/>
        <v>98320.655885049346</v>
      </c>
      <c r="H20">
        <f t="shared" si="1"/>
        <v>98340.655885049346</v>
      </c>
      <c r="I20">
        <f>G20*DATA!$B$7*F19*E20</f>
        <v>678.16257309786977</v>
      </c>
      <c r="J20">
        <f>H20*'LIFE TABLE MALE'!D80/1000*F19*E19</f>
        <v>176.41484893707354</v>
      </c>
      <c r="K20">
        <f>0</f>
        <v>0</v>
      </c>
      <c r="L20" s="43">
        <f>DATA!$B$8*((1+DATA!$B$9)^A19)*F20*E20</f>
        <v>2.7364633876180271</v>
      </c>
      <c r="M20">
        <f>B19*EXP(RATES!O21)*(DATA!$B$12)</f>
        <v>1185.464800250299</v>
      </c>
      <c r="N20">
        <f>C19*EXP(RATES!O21)*(DATA!$B$12)</f>
        <v>222.27465004693099</v>
      </c>
      <c r="O20">
        <f t="shared" si="4"/>
        <v>1407.73945029723</v>
      </c>
      <c r="P20">
        <f t="shared" si="5"/>
        <v>55.022332752671055</v>
      </c>
      <c r="Q20">
        <f>RATES!G21</f>
        <v>0.64727657622441381</v>
      </c>
      <c r="R20" s="44">
        <f t="shared" si="6"/>
        <v>912.33621817523237</v>
      </c>
      <c r="S20">
        <f t="shared" si="7"/>
        <v>590.5338636659942</v>
      </c>
      <c r="T20">
        <f>C19*EXP(RATES!O21)*(DATA!$B$6-DATA!$B$12)</f>
        <v>127.0140857411034</v>
      </c>
      <c r="U20">
        <f>B19*EXP(RATES!O21)*(DATA!$B$6-DATA!$B$12)</f>
        <v>677.40845728588499</v>
      </c>
      <c r="V20">
        <f t="shared" si="8"/>
        <v>804.42254302698836</v>
      </c>
      <c r="W20">
        <f t="shared" si="9"/>
        <v>31.44133300152631</v>
      </c>
    </row>
    <row r="21" spans="1:23" x14ac:dyDescent="0.3">
      <c r="A21" s="5">
        <v>19</v>
      </c>
      <c r="B21">
        <f>B20*EXP(RATES!O22)*(1-DATA!$B$6)</f>
        <v>82680.449851873433</v>
      </c>
      <c r="C21">
        <f>C20*EXP(RATES!O22)*(1-DATA!$B$6)</f>
        <v>15502.584347226262</v>
      </c>
      <c r="D21">
        <f t="shared" si="2"/>
        <v>98183.034199099697</v>
      </c>
      <c r="E21">
        <f>E20*(1-'LIFE TABLE MALE'!D81/1000)</f>
        <v>0.69834190615291014</v>
      </c>
      <c r="F21">
        <f t="shared" si="3"/>
        <v>4.5599448334722736E-2</v>
      </c>
      <c r="G21">
        <f t="shared" si="0"/>
        <v>98163.034199099697</v>
      </c>
      <c r="H21">
        <f t="shared" si="1"/>
        <v>98183.034199099697</v>
      </c>
      <c r="I21">
        <f>G21*DATA!$B$7*F20*E21</f>
        <v>551.63015604360487</v>
      </c>
      <c r="J21">
        <f>H21*'LIFE TABLE MALE'!D81/1000*F20*E20</f>
        <v>159.25857785255985</v>
      </c>
      <c r="K21">
        <f>0</f>
        <v>0</v>
      </c>
      <c r="L21" s="43">
        <f>DATA!$B$8*((1+DATA!$B$9)^A20)*F21*E21</f>
        <v>2.274054080269575</v>
      </c>
      <c r="M21">
        <f>B20*EXP(RATES!O22)*(DATA!$B$12)</f>
        <v>1183.5647218059592</v>
      </c>
      <c r="N21">
        <f>C20*EXP(RATES!O22)*(DATA!$B$12)</f>
        <v>221.91838533861727</v>
      </c>
      <c r="O21">
        <f t="shared" si="4"/>
        <v>1405.4831071445765</v>
      </c>
      <c r="P21">
        <f t="shared" si="5"/>
        <v>44.756212032426859</v>
      </c>
      <c r="Q21">
        <f>RATES!G22</f>
        <v>0.63405275958074025</v>
      </c>
      <c r="R21" s="44">
        <f t="shared" si="6"/>
        <v>757.91900000886119</v>
      </c>
      <c r="S21">
        <f t="shared" si="7"/>
        <v>480.56063349429354</v>
      </c>
      <c r="T21">
        <f>C20*EXP(RATES!O22)*(DATA!$B$6-DATA!$B$12)</f>
        <v>126.81050590778126</v>
      </c>
      <c r="U21">
        <f>B20*EXP(RATES!O22)*(DATA!$B$6-DATA!$B$12)</f>
        <v>676.3226981748337</v>
      </c>
      <c r="V21">
        <f t="shared" si="8"/>
        <v>803.13320408261495</v>
      </c>
      <c r="W21">
        <f t="shared" si="9"/>
        <v>25.574978304243913</v>
      </c>
    </row>
    <row r="22" spans="1:23" x14ac:dyDescent="0.3">
      <c r="A22" s="6">
        <v>20</v>
      </c>
      <c r="B22">
        <f>B21*EXP(RATES!O23)*(1-DATA!$B$6)</f>
        <v>82630.136364810009</v>
      </c>
      <c r="C22">
        <f>C21*EXP(RATES!O23)*(1-DATA!$B$6)</f>
        <v>15493.15056840187</v>
      </c>
      <c r="D22">
        <f t="shared" si="2"/>
        <v>98123.286933211872</v>
      </c>
      <c r="E22">
        <f>E21*(1-'LIFE TABLE MALE'!D82/1000)</f>
        <v>0.66548978691150162</v>
      </c>
      <c r="F22">
        <f t="shared" si="3"/>
        <v>3.8759531084514326E-2</v>
      </c>
      <c r="G22">
        <f t="shared" si="0"/>
        <v>98103.286933211872</v>
      </c>
      <c r="H22">
        <f t="shared" si="1"/>
        <v>98123.286933211872</v>
      </c>
      <c r="I22">
        <f>G22*DATA!$B$7*F21*E22</f>
        <v>446.55586846910978</v>
      </c>
      <c r="J22">
        <f>H22*'LIFE TABLE MALE'!D82/1000*F21*E21</f>
        <v>146.99246294963504</v>
      </c>
      <c r="K22">
        <f>0</f>
        <v>0</v>
      </c>
      <c r="L22" s="43">
        <f>DATA!$B$8*((1+DATA!$B$9)^A21)*F22*E22</f>
        <v>1.8788546197185032</v>
      </c>
      <c r="M22">
        <f>B21*EXP(RATES!O23)*(DATA!$B$12)</f>
        <v>1182.8444878398161</v>
      </c>
      <c r="N22">
        <f>C21*EXP(RATES!O23)*(DATA!$B$12)</f>
        <v>221.78334146996542</v>
      </c>
      <c r="O22">
        <f t="shared" si="4"/>
        <v>1404.6278293097816</v>
      </c>
      <c r="P22">
        <f t="shared" si="5"/>
        <v>36.231071477913162</v>
      </c>
      <c r="Q22">
        <f>RATES!G23</f>
        <v>0.62048117992903407</v>
      </c>
      <c r="R22" s="44">
        <f t="shared" si="6"/>
        <v>631.65825751637647</v>
      </c>
      <c r="S22">
        <f t="shared" si="7"/>
        <v>391.93206093567892</v>
      </c>
      <c r="T22">
        <f>C21*EXP(RATES!O23)*(DATA!$B$6-DATA!$B$12)</f>
        <v>126.73333798283737</v>
      </c>
      <c r="U22">
        <f>B21*EXP(RATES!O23)*(DATA!$B$6-DATA!$B$12)</f>
        <v>675.91113590846612</v>
      </c>
      <c r="V22">
        <f t="shared" si="8"/>
        <v>802.64447389130351</v>
      </c>
      <c r="W22">
        <f t="shared" si="9"/>
        <v>20.703469415950369</v>
      </c>
    </row>
    <row r="23" spans="1:23" x14ac:dyDescent="0.3">
      <c r="A23" s="5">
        <v>21</v>
      </c>
      <c r="B23">
        <f>B22*EXP(RATES!O24)*(1-DATA!$B$6)</f>
        <v>82662.12593342422</v>
      </c>
      <c r="C23">
        <f>C22*EXP(RATES!O24)*(1-DATA!$B$6)</f>
        <v>15499.148612517036</v>
      </c>
      <c r="D23">
        <f t="shared" si="2"/>
        <v>98161.274545941254</v>
      </c>
      <c r="E23">
        <f>E22*(1-'LIFE TABLE MALE'!D83/1000)</f>
        <v>0.63037147159761586</v>
      </c>
      <c r="F23">
        <f t="shared" si="3"/>
        <v>3.2945601421837174E-2</v>
      </c>
      <c r="G23">
        <f t="shared" si="0"/>
        <v>98141.274545941254</v>
      </c>
      <c r="H23">
        <f t="shared" si="1"/>
        <v>98161.274545941254</v>
      </c>
      <c r="I23">
        <f>G23*DATA!$B$7*F22*E23</f>
        <v>359.68143101237604</v>
      </c>
      <c r="J23">
        <f>H23*'LIFE TABLE MALE'!D83/1000*F22*E22</f>
        <v>133.61412651876876</v>
      </c>
      <c r="K23">
        <f>0</f>
        <v>0</v>
      </c>
      <c r="L23" s="43">
        <f>DATA!$B$8*((1+DATA!$B$9)^A22)*F23*E23</f>
        <v>1.5430053428157937</v>
      </c>
      <c r="M23">
        <f>B22*EXP(RATES!O24)*(DATA!$B$12)</f>
        <v>1183.3024162248867</v>
      </c>
      <c r="N23">
        <f>C22*EXP(RATES!O24)*(DATA!$B$12)</f>
        <v>221.86920304216616</v>
      </c>
      <c r="O23">
        <f t="shared" si="4"/>
        <v>1405.1716192670528</v>
      </c>
      <c r="P23">
        <f t="shared" si="5"/>
        <v>29.182558170905352</v>
      </c>
      <c r="Q23">
        <f>RATES!G24</f>
        <v>0.60659575547952316</v>
      </c>
      <c r="R23" s="44">
        <f t="shared" si="6"/>
        <v>524.02112104486594</v>
      </c>
      <c r="S23">
        <f t="shared" si="7"/>
        <v>317.86898780743712</v>
      </c>
      <c r="T23">
        <f>C22*EXP(RATES!O24)*(DATA!$B$6-DATA!$B$12)</f>
        <v>126.78240173838064</v>
      </c>
      <c r="U23">
        <f>B22*EXP(RATES!O24)*(DATA!$B$6-DATA!$B$12)</f>
        <v>676.17280927136369</v>
      </c>
      <c r="V23">
        <f t="shared" si="8"/>
        <v>802.95521100974429</v>
      </c>
      <c r="W23">
        <f t="shared" si="9"/>
        <v>16.675747526231625</v>
      </c>
    </row>
    <row r="24" spans="1:23" x14ac:dyDescent="0.3">
      <c r="A24" s="5">
        <v>22</v>
      </c>
      <c r="B24">
        <f>B23*EXP(RATES!O25)*(1-DATA!$B$6)</f>
        <v>82791.080503122896</v>
      </c>
      <c r="C24">
        <f>C23*EXP(RATES!O25)*(1-DATA!$B$6)</f>
        <v>15523.327594335537</v>
      </c>
      <c r="D24">
        <f t="shared" si="2"/>
        <v>98314.408097458436</v>
      </c>
      <c r="E24">
        <f>E23*(1-'LIFE TABLE MALE'!D84/1000)</f>
        <v>0.59321032950859998</v>
      </c>
      <c r="F24">
        <f t="shared" si="3"/>
        <v>2.8003761208561597E-2</v>
      </c>
      <c r="G24">
        <f t="shared" si="0"/>
        <v>98294.408097458436</v>
      </c>
      <c r="H24">
        <f t="shared" si="1"/>
        <v>98314.408097458436</v>
      </c>
      <c r="I24">
        <f>G24*DATA!$B$7*F23*E24</f>
        <v>288.15503705980854</v>
      </c>
      <c r="J24">
        <f>H24*'LIFE TABLE MALE'!D84/1000*F23*E23</f>
        <v>120.3659538445179</v>
      </c>
      <c r="K24">
        <f>0</f>
        <v>0</v>
      </c>
      <c r="L24" s="43">
        <f>DATA!$B$8*((1+DATA!$B$9)^A23)*F24*E24</f>
        <v>1.2589215906148017</v>
      </c>
      <c r="M24">
        <f>B23*EXP(RATES!O25)*(DATA!$B$12)</f>
        <v>1185.148391660246</v>
      </c>
      <c r="N24">
        <f>C23*EXP(RATES!O25)*(DATA!$B$12)</f>
        <v>222.21532343629602</v>
      </c>
      <c r="O24">
        <f t="shared" si="4"/>
        <v>1407.3637150965421</v>
      </c>
      <c r="P24">
        <f t="shared" si="5"/>
        <v>23.379295501493594</v>
      </c>
      <c r="Q24">
        <f>RATES!G25</f>
        <v>0.59232660750473398</v>
      </c>
      <c r="R24" s="44">
        <f t="shared" si="6"/>
        <v>433.15920799643482</v>
      </c>
      <c r="S24">
        <f t="shared" si="7"/>
        <v>256.57172418196569</v>
      </c>
      <c r="T24">
        <f>C23*EXP(RATES!O25)*(DATA!$B$6-DATA!$B$12)</f>
        <v>126.98018482074056</v>
      </c>
      <c r="U24">
        <f>B23*EXP(RATES!O25)*(DATA!$B$6-DATA!$B$12)</f>
        <v>677.22765237728333</v>
      </c>
      <c r="V24">
        <f t="shared" si="8"/>
        <v>804.20783719802387</v>
      </c>
      <c r="W24">
        <f t="shared" si="9"/>
        <v>13.359597429424907</v>
      </c>
    </row>
    <row r="25" spans="1:23" x14ac:dyDescent="0.3">
      <c r="A25" s="5">
        <v>23</v>
      </c>
      <c r="B25">
        <f>B24*EXP(RATES!O26)*(1-DATA!$B$6)</f>
        <v>82994.7603613877</v>
      </c>
      <c r="C25">
        <f>C24*EXP(RATES!O26)*(1-DATA!$B$6)</f>
        <v>15561.517567760189</v>
      </c>
      <c r="D25">
        <f t="shared" si="2"/>
        <v>98556.277929147895</v>
      </c>
      <c r="E25">
        <f>E24*(1-'LIFE TABLE MALE'!D85/1000)</f>
        <v>0.55421480613968421</v>
      </c>
      <c r="F25">
        <f t="shared" si="3"/>
        <v>2.3803197027277356E-2</v>
      </c>
      <c r="G25">
        <f t="shared" si="0"/>
        <v>98536.277929147895</v>
      </c>
      <c r="H25">
        <f t="shared" si="1"/>
        <v>98556.277929147895</v>
      </c>
      <c r="I25">
        <f>G25*DATA!$B$7*F24*E25</f>
        <v>229.39391960393291</v>
      </c>
      <c r="J25">
        <f>H25*'LIFE TABLE MALE'!D85/1000*F24*E24</f>
        <v>107.62555717439622</v>
      </c>
      <c r="K25">
        <f>0</f>
        <v>0</v>
      </c>
      <c r="L25" s="43">
        <f>DATA!$B$8*((1+DATA!$B$9)^A24)*F25*E25</f>
        <v>1.0197347014261977</v>
      </c>
      <c r="M25">
        <f>B24*EXP(RATES!O26)*(DATA!$B$12)</f>
        <v>1188.0640542529939</v>
      </c>
      <c r="N25">
        <f>C24*EXP(RATES!O26)*(DATA!$B$12)</f>
        <v>222.76201017243625</v>
      </c>
      <c r="O25">
        <f t="shared" si="4"/>
        <v>1410.8260644254301</v>
      </c>
      <c r="P25">
        <f t="shared" si="5"/>
        <v>18.611736270104249</v>
      </c>
      <c r="Q25">
        <f>RATES!G26</f>
        <v>0.57787375637469385</v>
      </c>
      <c r="R25" s="44">
        <f t="shared" si="6"/>
        <v>356.6509477498596</v>
      </c>
      <c r="S25">
        <f t="shared" si="7"/>
        <v>206.09922289080603</v>
      </c>
      <c r="T25">
        <f>C24*EXP(RATES!O26)*(DATA!$B$6-DATA!$B$12)</f>
        <v>127.29257724139211</v>
      </c>
      <c r="U25">
        <f>B24*EXP(RATES!O26)*(DATA!$B$6-DATA!$B$12)</f>
        <v>678.89374528742485</v>
      </c>
      <c r="V25">
        <f t="shared" si="8"/>
        <v>806.18632252881696</v>
      </c>
      <c r="W25">
        <f t="shared" si="9"/>
        <v>10.635277868630995</v>
      </c>
    </row>
    <row r="26" spans="1:23" x14ac:dyDescent="0.3">
      <c r="A26" s="5">
        <v>24</v>
      </c>
      <c r="B26">
        <f>B25*EXP(RATES!O27)*(1-DATA!$B$6)</f>
        <v>83283.464922455751</v>
      </c>
      <c r="C26">
        <f>C25*EXP(RATES!O27)*(1-DATA!$B$6)</f>
        <v>15615.64967296045</v>
      </c>
      <c r="D26">
        <f t="shared" si="2"/>
        <v>98899.114595416206</v>
      </c>
      <c r="E26">
        <f>E25*(1-'LIFE TABLE MALE'!D86/1000)</f>
        <v>0.51420915397167088</v>
      </c>
      <c r="F26">
        <f t="shared" si="3"/>
        <v>2.0232717473185752E-2</v>
      </c>
      <c r="G26">
        <f t="shared" si="0"/>
        <v>98879.114595416206</v>
      </c>
      <c r="H26">
        <f t="shared" si="1"/>
        <v>98899.114595416206</v>
      </c>
      <c r="I26">
        <f>G26*DATA!$B$7*F25*E26</f>
        <v>181.53941143583305</v>
      </c>
      <c r="J26">
        <f>H26*'LIFE TABLE MALE'!D86/1000*F25*E25</f>
        <v>94.177910275646354</v>
      </c>
      <c r="K26">
        <f>0</f>
        <v>0</v>
      </c>
      <c r="L26" s="43">
        <f>DATA!$B$8*((1+DATA!$B$9)^A25)*F26*E26</f>
        <v>0.8202910549354403</v>
      </c>
      <c r="M26">
        <f>B25*EXP(RATES!O27)*(DATA!$B$12)</f>
        <v>1192.1968393807574</v>
      </c>
      <c r="N26">
        <f>C25*EXP(RATES!O27)*(DATA!$B$12)</f>
        <v>223.53690738389193</v>
      </c>
      <c r="O26">
        <f t="shared" si="4"/>
        <v>1415.7337467646494</v>
      </c>
      <c r="P26">
        <f t="shared" si="5"/>
        <v>14.729079466427127</v>
      </c>
      <c r="Q26">
        <f>RATES!G27</f>
        <v>0.56320138825489208</v>
      </c>
      <c r="R26" s="44">
        <f t="shared" si="6"/>
        <v>291.26669223284193</v>
      </c>
      <c r="S26">
        <f t="shared" si="7"/>
        <v>164.04180541794696</v>
      </c>
      <c r="T26">
        <f>C25*EXP(RATES!O27)*(DATA!$B$6-DATA!$B$12)</f>
        <v>127.73537564793821</v>
      </c>
      <c r="U26">
        <f>B25*EXP(RATES!O27)*(DATA!$B$6-DATA!$B$12)</f>
        <v>681.25533678900399</v>
      </c>
      <c r="V26">
        <f t="shared" si="8"/>
        <v>808.9907124369422</v>
      </c>
      <c r="W26">
        <f t="shared" si="9"/>
        <v>8.4166168379583546</v>
      </c>
    </row>
    <row r="27" spans="1:23" x14ac:dyDescent="0.3">
      <c r="A27" s="6">
        <v>25</v>
      </c>
      <c r="B27">
        <f>B26*EXP(RATES!O28)*(1-DATA!$B$6)</f>
        <v>83627.029768984285</v>
      </c>
      <c r="C27">
        <f>C26*EXP(RATES!O28)*(1-DATA!$B$6)</f>
        <v>15680.068081684547</v>
      </c>
      <c r="D27">
        <f t="shared" si="2"/>
        <v>99307.097850668826</v>
      </c>
      <c r="E27">
        <f>E26*(1-'LIFE TABLE MALE'!D87/1000)</f>
        <v>0.47242590134255708</v>
      </c>
      <c r="F27">
        <f t="shared" si="3"/>
        <v>1.7197809852207889E-2</v>
      </c>
      <c r="G27">
        <f t="shared" si="0"/>
        <v>99287.097850668826</v>
      </c>
      <c r="H27">
        <f t="shared" si="1"/>
        <v>99307.097850668826</v>
      </c>
      <c r="I27">
        <f>G27*DATA!$B$7*F26*E27</f>
        <v>142.35475985401808</v>
      </c>
      <c r="J27">
        <f>H27*'LIFE TABLE MALE'!D87/1000*F26*E26</f>
        <v>83.953102876744651</v>
      </c>
      <c r="K27">
        <f>0</f>
        <v>0</v>
      </c>
      <c r="L27" s="43">
        <f>DATA!$B$8*((1+DATA!$B$9)^A26)*F27*E27</f>
        <v>0.653402767811879</v>
      </c>
      <c r="M27">
        <f>B26*EXP(RATES!O28)*(DATA!$B$12)</f>
        <v>1197.1149455682821</v>
      </c>
      <c r="N27">
        <f>C26*EXP(RATES!O28)*(DATA!$B$12)</f>
        <v>224.45905229405284</v>
      </c>
      <c r="O27">
        <f t="shared" si="4"/>
        <v>1421.5739978623349</v>
      </c>
      <c r="P27">
        <f t="shared" si="5"/>
        <v>11.549849211160726</v>
      </c>
      <c r="Q27">
        <f>RATES!G28</f>
        <v>0.54854806158178537</v>
      </c>
      <c r="R27" s="44">
        <f t="shared" si="6"/>
        <v>238.51111470973535</v>
      </c>
      <c r="S27">
        <f t="shared" si="7"/>
        <v>130.83480963973619</v>
      </c>
      <c r="T27">
        <f>C26*EXP(RATES!O28)*(DATA!$B$6-DATA!$B$12)</f>
        <v>128.26231559660158</v>
      </c>
      <c r="U27">
        <f>B26*EXP(RATES!O28)*(DATA!$B$6-DATA!$B$12)</f>
        <v>684.06568318187533</v>
      </c>
      <c r="V27">
        <f t="shared" si="8"/>
        <v>812.32799877847697</v>
      </c>
      <c r="W27">
        <f t="shared" si="9"/>
        <v>6.5999138349489854</v>
      </c>
    </row>
    <row r="28" spans="1:23" x14ac:dyDescent="0.3">
      <c r="A28" s="5">
        <v>26</v>
      </c>
      <c r="B28">
        <f>B27*EXP(RATES!O29)*(1-DATA!$B$6)</f>
        <v>84031.033003797333</v>
      </c>
      <c r="C28">
        <f>C27*EXP(RATES!O29)*(1-DATA!$B$6)</f>
        <v>15755.818688211992</v>
      </c>
      <c r="D28">
        <f t="shared" si="2"/>
        <v>99786.851692009324</v>
      </c>
      <c r="E28">
        <f>E27*(1-'LIFE TABLE MALE'!D88/1000)</f>
        <v>0.42866056426106119</v>
      </c>
      <c r="F28">
        <f t="shared" si="3"/>
        <v>1.4618138374376706E-2</v>
      </c>
      <c r="G28">
        <f t="shared" si="0"/>
        <v>99766.851692009324</v>
      </c>
      <c r="H28">
        <f t="shared" si="1"/>
        <v>99786.851692009324</v>
      </c>
      <c r="I28">
        <f>G28*DATA!$B$7*F27*E28</f>
        <v>110.32252693055128</v>
      </c>
      <c r="J28">
        <f>H28*'LIFE TABLE MALE'!D88/1000*F27*E27</f>
        <v>75.106364625527121</v>
      </c>
      <c r="K28">
        <f>0</f>
        <v>0</v>
      </c>
      <c r="L28" s="43">
        <f>DATA!$B$8*((1+DATA!$B$9)^A27)*F28*E28</f>
        <v>0.51401985912343284</v>
      </c>
      <c r="M28">
        <f>B27*EXP(RATES!O29)*(DATA!$B$12)</f>
        <v>1202.8982229582439</v>
      </c>
      <c r="N28">
        <f>C27*EXP(RATES!O29)*(DATA!$B$12)</f>
        <v>225.54341680467064</v>
      </c>
      <c r="O28">
        <f t="shared" si="4"/>
        <v>1428.4416397629145</v>
      </c>
      <c r="P28">
        <f t="shared" si="5"/>
        <v>8.9509287777110327</v>
      </c>
      <c r="Q28">
        <f>RATES!G29</f>
        <v>0.53390072310461278</v>
      </c>
      <c r="R28" s="44">
        <f t="shared" si="6"/>
        <v>194.89384019291288</v>
      </c>
      <c r="S28">
        <f t="shared" si="7"/>
        <v>104.05396220763103</v>
      </c>
      <c r="T28">
        <f>C27*EXP(RATES!O29)*(DATA!$B$6-DATA!$B$12)</f>
        <v>128.88195245981177</v>
      </c>
      <c r="U28">
        <f>B27*EXP(RATES!O29)*(DATA!$B$6-DATA!$B$12)</f>
        <v>687.37041311899645</v>
      </c>
      <c r="V28">
        <f t="shared" si="8"/>
        <v>816.25236557880817</v>
      </c>
      <c r="W28">
        <f t="shared" si="9"/>
        <v>5.1148164444063031</v>
      </c>
    </row>
    <row r="29" spans="1:23" x14ac:dyDescent="0.3">
      <c r="A29" s="5">
        <v>27</v>
      </c>
      <c r="B29">
        <f>B28*EXP(RATES!O30)*(1-DATA!$B$6)</f>
        <v>84501.26690690004</v>
      </c>
      <c r="C29">
        <f>C28*EXP(RATES!O30)*(1-DATA!$B$6)</f>
        <v>15843.987545043748</v>
      </c>
      <c r="D29">
        <f t="shared" si="2"/>
        <v>100345.25445194379</v>
      </c>
      <c r="E29">
        <f>E28*(1-'LIFE TABLE MALE'!D89/1000)</f>
        <v>0.38279328376033767</v>
      </c>
      <c r="F29">
        <f t="shared" si="3"/>
        <v>1.24254176182202E-2</v>
      </c>
      <c r="G29">
        <f t="shared" si="0"/>
        <v>100325.25445194379</v>
      </c>
      <c r="H29">
        <f t="shared" si="1"/>
        <v>100345.25445194379</v>
      </c>
      <c r="I29">
        <f>G29*DATA!$B$7*F28*E29</f>
        <v>84.208883041383743</v>
      </c>
      <c r="J29">
        <f>H29*'LIFE TABLE MALE'!D89/1000*F28*E28</f>
        <v>67.280916447518209</v>
      </c>
      <c r="K29">
        <f>0</f>
        <v>0</v>
      </c>
      <c r="L29" s="43">
        <f>DATA!$B$8*((1+DATA!$B$9)^A28)*F29*E29</f>
        <v>0.39796948563168955</v>
      </c>
      <c r="M29">
        <f>B28*EXP(RATES!O30)*(DATA!$B$12)</f>
        <v>1209.629587624336</v>
      </c>
      <c r="N29">
        <f>C28*EXP(RATES!O30)*(DATA!$B$12)</f>
        <v>226.80554767956289</v>
      </c>
      <c r="O29">
        <f t="shared" si="4"/>
        <v>1436.4351353038987</v>
      </c>
      <c r="P29">
        <f t="shared" si="5"/>
        <v>6.8322118308232973</v>
      </c>
      <c r="Q29">
        <f>RATES!G30</f>
        <v>0.51924921182601969</v>
      </c>
      <c r="R29" s="44">
        <f t="shared" si="6"/>
        <v>158.71998080535695</v>
      </c>
      <c r="S29">
        <f t="shared" si="7"/>
        <v>82.415224934222579</v>
      </c>
      <c r="T29">
        <f>C28*EXP(RATES!O30)*(DATA!$B$6-DATA!$B$12)</f>
        <v>129.60317010260732</v>
      </c>
      <c r="U29">
        <f>B28*EXP(RATES!O30)*(DATA!$B$6-DATA!$B$12)</f>
        <v>691.21690721390621</v>
      </c>
      <c r="V29">
        <f t="shared" si="8"/>
        <v>820.82007731651356</v>
      </c>
      <c r="W29">
        <f t="shared" si="9"/>
        <v>3.9041210461847418</v>
      </c>
    </row>
    <row r="30" spans="1:23" x14ac:dyDescent="0.3">
      <c r="A30" s="5">
        <v>28</v>
      </c>
      <c r="B30">
        <f>B29*EXP(RATES!O31)*(1-DATA!$B$6)</f>
        <v>85020.543140026202</v>
      </c>
      <c r="C30">
        <f>C29*EXP(RATES!O31)*(1-DATA!$B$6)</f>
        <v>15941.351838754903</v>
      </c>
      <c r="D30">
        <f t="shared" si="2"/>
        <v>100961.8949787811</v>
      </c>
      <c r="E30">
        <f>E29*(1-'LIFE TABLE MALE'!D90/1000)</f>
        <v>0.33599119307109643</v>
      </c>
      <c r="F30">
        <f t="shared" si="3"/>
        <v>1.0561604975487169E-2</v>
      </c>
      <c r="G30">
        <f t="shared" si="0"/>
        <v>100941.8949787811</v>
      </c>
      <c r="H30">
        <f t="shared" si="1"/>
        <v>100961.8949787811</v>
      </c>
      <c r="I30">
        <f>G30*DATA!$B$7*F29*E30</f>
        <v>63.212301187162353</v>
      </c>
      <c r="J30">
        <f>H30*'LIFE TABLE MALE'!D90/1000*F29*E29</f>
        <v>58.712928320769642</v>
      </c>
      <c r="K30">
        <f>0</f>
        <v>0</v>
      </c>
      <c r="L30" s="43">
        <f>DATA!$B$8*((1+DATA!$B$9)^A29)*F30*E30</f>
        <v>0.30285340150374207</v>
      </c>
      <c r="M30">
        <f>B29*EXP(RATES!O31)*(DATA!$B$12)</f>
        <v>1217.0629897345264</v>
      </c>
      <c r="N30">
        <f>C29*EXP(RATES!O31)*(DATA!$B$12)</f>
        <v>228.19931057522356</v>
      </c>
      <c r="O30">
        <f t="shared" si="4"/>
        <v>1445.2623003097499</v>
      </c>
      <c r="P30">
        <f t="shared" si="5"/>
        <v>5.1286668411043168</v>
      </c>
      <c r="Q30">
        <f>RATES!G31</f>
        <v>0.50472410428806358</v>
      </c>
      <c r="R30" s="44">
        <f t="shared" si="6"/>
        <v>127.35674975054005</v>
      </c>
      <c r="S30">
        <f t="shared" si="7"/>
        <v>64.280021442880397</v>
      </c>
      <c r="T30">
        <f>C29*EXP(RATES!O31)*(DATA!$B$6-DATA!$B$12)</f>
        <v>130.39960604298486</v>
      </c>
      <c r="U30">
        <f>B29*EXP(RATES!O31)*(DATA!$B$6-DATA!$B$12)</f>
        <v>695.46456556258636</v>
      </c>
      <c r="V30">
        <f t="shared" si="8"/>
        <v>825.86417160557119</v>
      </c>
      <c r="W30">
        <f t="shared" si="9"/>
        <v>2.9306667663453232</v>
      </c>
    </row>
    <row r="31" spans="1:23" x14ac:dyDescent="0.3">
      <c r="A31" s="5">
        <v>29</v>
      </c>
      <c r="B31">
        <f>B30*EXP(RATES!O32)*(1-DATA!$B$6)</f>
        <v>85568.006571671765</v>
      </c>
      <c r="C31">
        <f>C30*EXP(RATES!O32)*(1-DATA!$B$6)</f>
        <v>16044.001232188448</v>
      </c>
      <c r="D31">
        <f t="shared" si="2"/>
        <v>101612.00780386021</v>
      </c>
      <c r="E31">
        <f>E30*(1-'LIFE TABLE MALE'!D91/1000)</f>
        <v>0.28899294993893926</v>
      </c>
      <c r="F31">
        <f t="shared" si="3"/>
        <v>8.9773642291640938E-3</v>
      </c>
      <c r="G31">
        <f t="shared" si="0"/>
        <v>101592.00780386021</v>
      </c>
      <c r="H31">
        <f t="shared" si="1"/>
        <v>101612.00780386021</v>
      </c>
      <c r="I31">
        <f>G31*DATA!$B$7*F30*E31</f>
        <v>46.51231661766878</v>
      </c>
      <c r="J31">
        <f>H31*'LIFE TABLE MALE'!D91/1000*F30*E30</f>
        <v>50.437851252178525</v>
      </c>
      <c r="K31">
        <f>0</f>
        <v>0</v>
      </c>
      <c r="L31" s="43">
        <f>DATA!$B$8*((1+DATA!$B$9)^A30)*F31*E31</f>
        <v>0.22584522226719111</v>
      </c>
      <c r="M31">
        <f>B30*EXP(RATES!O32)*(DATA!$B$12)</f>
        <v>1224.8998895740335</v>
      </c>
      <c r="N31">
        <f>C30*EXP(RATES!O32)*(DATA!$B$12)</f>
        <v>229.66872929513116</v>
      </c>
      <c r="O31">
        <f t="shared" si="4"/>
        <v>1454.5686188691648</v>
      </c>
      <c r="P31">
        <f t="shared" si="5"/>
        <v>3.7737255101503182</v>
      </c>
      <c r="Q31">
        <f>RATES!G32</f>
        <v>0.49046199601095725</v>
      </c>
      <c r="R31" s="45">
        <f t="shared" si="6"/>
        <v>100.94973860226482</v>
      </c>
      <c r="S31">
        <f t="shared" si="7"/>
        <v>49.51201029165118</v>
      </c>
      <c r="T31">
        <f>C30*EXP(RATES!O32)*(DATA!$B$6-DATA!$B$12)</f>
        <v>131.23927388293205</v>
      </c>
      <c r="U31">
        <f>B30*EXP(RATES!O32)*(DATA!$B$6-DATA!$B$12)</f>
        <v>699.94279404230474</v>
      </c>
      <c r="V31">
        <f t="shared" si="8"/>
        <v>831.18206792523677</v>
      </c>
      <c r="W31">
        <f t="shared" si="9"/>
        <v>2.1564145772287526</v>
      </c>
    </row>
    <row r="32" spans="1:23" x14ac:dyDescent="0.3">
      <c r="A32" s="6">
        <v>30</v>
      </c>
      <c r="B32">
        <f>B31*EXP(RATES!O33)*(1-DATA!$B$6)</f>
        <v>86144.154157072146</v>
      </c>
      <c r="C32">
        <f>C31*EXP(RATES!O33)*(1-DATA!$B$6)</f>
        <v>16152.028904451019</v>
      </c>
      <c r="D32">
        <f t="shared" si="2"/>
        <v>102296.18306152316</v>
      </c>
      <c r="E32">
        <f>E31*(1-'LIFE TABLE MALE'!D92/1000)</f>
        <v>0.24274450939213651</v>
      </c>
      <c r="F32">
        <f t="shared" si="3"/>
        <v>7.6307595947894798E-3</v>
      </c>
      <c r="G32">
        <f t="shared" si="0"/>
        <v>102276.18306152316</v>
      </c>
      <c r="H32">
        <f t="shared" si="1"/>
        <v>102296.18306152316</v>
      </c>
      <c r="I32">
        <f>G32*DATA!$B$7*F31*E32</f>
        <v>33.432128856832556</v>
      </c>
      <c r="J32">
        <f>H32*'LIFE TABLE MALE'!D92/1000*F31*E31</f>
        <v>42.472259751098761</v>
      </c>
      <c r="K32">
        <f>0</f>
        <v>0</v>
      </c>
      <c r="L32" s="43">
        <f>DATA!$B$8*((1+DATA!$B$9)^A31)*F32*E32</f>
        <v>0.16447207527623681</v>
      </c>
      <c r="M32">
        <f>B31*EXP(RATES!O33)*(DATA!$B$12)</f>
        <v>1233.1474010214827</v>
      </c>
      <c r="N32">
        <f>C31*EXP(RATES!O33)*(DATA!$B$12)</f>
        <v>231.2151376915279</v>
      </c>
      <c r="O32">
        <f t="shared" si="4"/>
        <v>1464.3625387130105</v>
      </c>
      <c r="P32">
        <f t="shared" si="5"/>
        <v>2.7124753309206597</v>
      </c>
      <c r="Q32">
        <f>RATES!G33</f>
        <v>0.47646370067584165</v>
      </c>
      <c r="R32" s="45">
        <f t="shared" si="6"/>
        <v>78.781336014128215</v>
      </c>
      <c r="S32">
        <f t="shared" si="7"/>
        <v>37.536446901478492</v>
      </c>
      <c r="T32">
        <f>C31*EXP(RATES!O33)*(DATA!$B$6-DATA!$B$12)</f>
        <v>132.12293582373019</v>
      </c>
      <c r="U32">
        <f>B31*EXP(RATES!O33)*(DATA!$B$6-DATA!$B$12)</f>
        <v>704.65565772656134</v>
      </c>
      <c r="V32">
        <f t="shared" si="8"/>
        <v>836.77859355029159</v>
      </c>
      <c r="W32">
        <f t="shared" si="9"/>
        <v>1.5499859033832337</v>
      </c>
    </row>
    <row r="33" spans="1:23" x14ac:dyDescent="0.3">
      <c r="A33" s="5">
        <v>31</v>
      </c>
      <c r="B33">
        <f>B32*EXP(RATES!O34)*(1-DATA!$B$6)</f>
        <v>86775.747166721878</v>
      </c>
      <c r="C33">
        <f>C32*EXP(RATES!O34)*(1-DATA!$B$6)</f>
        <v>16270.452593760341</v>
      </c>
      <c r="D33">
        <f t="shared" si="2"/>
        <v>103046.19976048222</v>
      </c>
      <c r="E33">
        <f>E32*(1-'LIFE TABLE MALE'!D93/1000)</f>
        <v>0.1988663322971663</v>
      </c>
      <c r="F33">
        <f t="shared" si="3"/>
        <v>6.486145655571058E-3</v>
      </c>
      <c r="G33">
        <f t="shared" si="0"/>
        <v>103026.19976048222</v>
      </c>
      <c r="H33">
        <f t="shared" si="1"/>
        <v>103046.19976048222</v>
      </c>
      <c r="I33">
        <f>G33*DATA!$B$7*F32*E33</f>
        <v>23.451356851914284</v>
      </c>
      <c r="J33">
        <f>H33*'LIFE TABLE MALE'!D93/1000*F32*E32</f>
        <v>34.50232232986744</v>
      </c>
      <c r="K33">
        <f>0</f>
        <v>0</v>
      </c>
      <c r="L33" s="43">
        <f>DATA!$B$8*((1+DATA!$B$9)^A32)*F33*E33</f>
        <v>0.11682159148546863</v>
      </c>
      <c r="M33">
        <f>B32*EXP(RATES!O34)*(DATA!$B$12)</f>
        <v>1242.1886097485749</v>
      </c>
      <c r="N33">
        <f>C32*EXP(RATES!O34)*(DATA!$B$12)</f>
        <v>232.91036432785765</v>
      </c>
      <c r="O33">
        <f t="shared" si="4"/>
        <v>1475.0989740764326</v>
      </c>
      <c r="P33">
        <f t="shared" si="5"/>
        <v>1.9026947602567503</v>
      </c>
      <c r="Q33">
        <f>RATES!G34</f>
        <v>0.46258987582736705</v>
      </c>
      <c r="R33" s="45">
        <f t="shared" si="6"/>
        <v>59.973195533523942</v>
      </c>
      <c r="S33">
        <f t="shared" si="7"/>
        <v>27.742993074823243</v>
      </c>
      <c r="T33">
        <f>C32*EXP(RATES!O34)*(DATA!$B$6-DATA!$B$12)</f>
        <v>133.09163675877576</v>
      </c>
      <c r="U33">
        <f>B32*EXP(RATES!O34)*(DATA!$B$6-DATA!$B$12)</f>
        <v>709.82206271347127</v>
      </c>
      <c r="V33">
        <f t="shared" si="8"/>
        <v>842.913699472247</v>
      </c>
      <c r="W33">
        <f t="shared" si="9"/>
        <v>1.0872541487181429</v>
      </c>
    </row>
    <row r="34" spans="1:23" x14ac:dyDescent="0.3">
      <c r="A34" s="5">
        <v>32</v>
      </c>
      <c r="B34">
        <f>B33*EXP(RATES!O35)*(1-DATA!$B$6)</f>
        <v>87439.193933082599</v>
      </c>
      <c r="C34">
        <f>C33*EXP(RATES!O35)*(1-DATA!$B$6)</f>
        <v>16394.848862452978</v>
      </c>
      <c r="D34">
        <f t="shared" si="2"/>
        <v>103834.04279553558</v>
      </c>
      <c r="E34">
        <f>E33*(1-'LIFE TABLE MALE'!D94/1000)</f>
        <v>0.1590545553724837</v>
      </c>
      <c r="F34">
        <f t="shared" si="3"/>
        <v>5.5132238072353994E-3</v>
      </c>
      <c r="G34">
        <f t="shared" si="0"/>
        <v>103814.04279553558</v>
      </c>
      <c r="H34">
        <f t="shared" si="1"/>
        <v>103834.04279553558</v>
      </c>
      <c r="I34">
        <f>G34*DATA!$B$7*F33*E34</f>
        <v>16.064979367153931</v>
      </c>
      <c r="J34">
        <f>H34*'LIFE TABLE MALE'!D94/1000*F33*E33</f>
        <v>26.812544033364144</v>
      </c>
      <c r="K34">
        <f>0</f>
        <v>0</v>
      </c>
      <c r="L34" s="43">
        <f>DATA!$B$8*((1+DATA!$B$9)^A33)*F34*E34</f>
        <v>8.1007842145788281E-2</v>
      </c>
      <c r="M34">
        <f>B33*EXP(RATES!O35)*(DATA!$B$12)</f>
        <v>1251.6858027230637</v>
      </c>
      <c r="N34">
        <f>C33*EXP(RATES!O35)*(DATA!$B$12)</f>
        <v>234.69108801057433</v>
      </c>
      <c r="O34">
        <f t="shared" si="4"/>
        <v>1486.376890733638</v>
      </c>
      <c r="P34">
        <f t="shared" si="5"/>
        <v>1.3034088916858049</v>
      </c>
      <c r="Q34">
        <f>RATES!G35</f>
        <v>0.44898020595178956</v>
      </c>
      <c r="R34" s="45">
        <f t="shared" si="6"/>
        <v>44.261940134349672</v>
      </c>
      <c r="S34">
        <f t="shared" si="7"/>
        <v>19.872734997346097</v>
      </c>
      <c r="T34">
        <f>C33*EXP(RATES!O35)*(DATA!$B$6-DATA!$B$12)</f>
        <v>134.10919314889961</v>
      </c>
      <c r="U34">
        <f>B33*EXP(RATES!O35)*(DATA!$B$6-DATA!$B$12)</f>
        <v>715.24903012746483</v>
      </c>
      <c r="V34">
        <f t="shared" si="8"/>
        <v>849.35822327636447</v>
      </c>
      <c r="W34">
        <f t="shared" si="9"/>
        <v>0.74480508096331688</v>
      </c>
    </row>
    <row r="35" spans="1:23" x14ac:dyDescent="0.3">
      <c r="A35" s="5">
        <v>33</v>
      </c>
      <c r="B35">
        <f>B34*EXP(RATES!O36)*(1-DATA!$B$6)</f>
        <v>88135.146395904914</v>
      </c>
      <c r="C35">
        <f>C34*EXP(RATES!O36)*(1-DATA!$B$6)</f>
        <v>16525.339949232162</v>
      </c>
      <c r="D35">
        <f t="shared" si="2"/>
        <v>104660.48634513708</v>
      </c>
      <c r="E35">
        <f>E34*(1-'LIFE TABLE MALE'!D95/1000)</f>
        <v>0.12331571729742245</v>
      </c>
      <c r="F35">
        <f t="shared" si="3"/>
        <v>4.6862402361500894E-3</v>
      </c>
      <c r="G35">
        <f t="shared" si="0"/>
        <v>104640.48634513708</v>
      </c>
      <c r="H35">
        <f t="shared" si="1"/>
        <v>104660.48634513708</v>
      </c>
      <c r="I35">
        <f>G35*DATA!$B$7*F34*E35</f>
        <v>10.671244358962797</v>
      </c>
      <c r="J35">
        <f>H35*'LIFE TABLE MALE'!D95/1000*F34*E34</f>
        <v>20.621905871639399</v>
      </c>
      <c r="K35">
        <f>0</f>
        <v>0</v>
      </c>
      <c r="L35" s="43">
        <f>DATA!$B$8*((1+DATA!$B$9)^A34)*F35*E35</f>
        <v>5.4452582632661027E-2</v>
      </c>
      <c r="M35">
        <f>B34*EXP(RATES!O36)*(DATA!$B$12)</f>
        <v>1261.6483124158169</v>
      </c>
      <c r="N35">
        <f>C34*EXP(RATES!O36)*(DATA!$B$12)</f>
        <v>236.55905857796552</v>
      </c>
      <c r="O35">
        <f t="shared" si="4"/>
        <v>1498.2073709937824</v>
      </c>
      <c r="P35">
        <f t="shared" si="5"/>
        <v>0.86579467708831326</v>
      </c>
      <c r="Q35">
        <f>RATES!G36</f>
        <v>0.43563530089638008</v>
      </c>
      <c r="R35" s="45">
        <f t="shared" si="6"/>
        <v>32.213397490323167</v>
      </c>
      <c r="S35">
        <f t="shared" si="7"/>
        <v>14.033293108591629</v>
      </c>
      <c r="T35">
        <f>C34*EXP(RATES!O36)*(DATA!$B$6-DATA!$B$12)</f>
        <v>135.17660490169456</v>
      </c>
      <c r="U35">
        <f>B34*EXP(RATES!O36)*(DATA!$B$6-DATA!$B$12)</f>
        <v>720.94189280903799</v>
      </c>
      <c r="V35">
        <f t="shared" si="8"/>
        <v>856.11849771073253</v>
      </c>
      <c r="W35">
        <f t="shared" si="9"/>
        <v>0.494739815479036</v>
      </c>
    </row>
    <row r="36" spans="1:23" x14ac:dyDescent="0.3">
      <c r="A36" s="5">
        <v>34</v>
      </c>
      <c r="B36">
        <f>B35*EXP(RATES!O37)*(1-DATA!$B$6)</f>
        <v>88864.291917679613</v>
      </c>
      <c r="C36">
        <f>C35*EXP(RATES!O37)*(1-DATA!$B$6)</f>
        <v>16662.054734564917</v>
      </c>
      <c r="D36">
        <f t="shared" si="2"/>
        <v>105526.34665224454</v>
      </c>
      <c r="E36">
        <f>E35*(1-'LIFE TABLE MALE'!D96/1000)</f>
        <v>9.2980118665901043E-2</v>
      </c>
      <c r="F36">
        <f t="shared" si="3"/>
        <v>3.9833042007275761E-3</v>
      </c>
      <c r="G36">
        <f t="shared" si="0"/>
        <v>105506.34665224454</v>
      </c>
      <c r="H36">
        <f t="shared" si="1"/>
        <v>105526.34665224454</v>
      </c>
      <c r="I36">
        <f>G36*DATA!$B$7*F35*E36</f>
        <v>6.8957973280733311</v>
      </c>
      <c r="J36">
        <f>H36*'LIFE TABLE MALE'!D96/1000*F35*E35</f>
        <v>15.001615192919251</v>
      </c>
      <c r="K36">
        <f>0</f>
        <v>0</v>
      </c>
      <c r="L36" s="43">
        <f>DATA!$B$8*((1+DATA!$B$9)^A35)*F36*E36</f>
        <v>3.5596659379171933E-2</v>
      </c>
      <c r="M36">
        <f>B35*EXP(RATES!O37)*(DATA!$B$12)</f>
        <v>1272.0859783716919</v>
      </c>
      <c r="N36">
        <f>C35*EXP(RATES!O37)*(DATA!$B$12)</f>
        <v>238.51612094469209</v>
      </c>
      <c r="O36">
        <f t="shared" si="4"/>
        <v>1510.6020993163841</v>
      </c>
      <c r="P36">
        <f t="shared" si="5"/>
        <v>0.55947882524988291</v>
      </c>
      <c r="Q36">
        <f>RATES!G37</f>
        <v>0.42255550600771669</v>
      </c>
      <c r="R36" s="45">
        <f t="shared" si="6"/>
        <v>22.492488005621638</v>
      </c>
      <c r="S36">
        <f t="shared" si="7"/>
        <v>9.5043246505879502</v>
      </c>
      <c r="T36">
        <f>C35*EXP(RATES!O37)*(DATA!$B$6-DATA!$B$12)</f>
        <v>136.29492625410975</v>
      </c>
      <c r="U36">
        <f>B35*EXP(RATES!O37)*(DATA!$B$6-DATA!$B$12)</f>
        <v>726.90627335525232</v>
      </c>
      <c r="V36">
        <f t="shared" si="8"/>
        <v>863.20119960936211</v>
      </c>
      <c r="W36">
        <f t="shared" si="9"/>
        <v>0.31970218585707588</v>
      </c>
    </row>
    <row r="37" spans="1:23" x14ac:dyDescent="0.3">
      <c r="A37" s="6">
        <v>35</v>
      </c>
      <c r="B37">
        <f>B36*EXP(RATES!O38)*(1-DATA!$B$6)</f>
        <v>89596.779479446108</v>
      </c>
      <c r="C37">
        <f>C36*EXP(RATES!O38)*(1-DATA!$B$6)</f>
        <v>16799.396152396137</v>
      </c>
      <c r="D37">
        <f t="shared" si="2"/>
        <v>106396.17563184224</v>
      </c>
      <c r="E37">
        <f>E36*(1-'LIFE TABLE MALE'!D97/1000)</f>
        <v>6.7353135477056972E-2</v>
      </c>
      <c r="F37">
        <f t="shared" si="3"/>
        <v>3.3858085706184394E-3</v>
      </c>
      <c r="G37">
        <f t="shared" si="0"/>
        <v>106376.17563184224</v>
      </c>
      <c r="H37">
        <f t="shared" si="1"/>
        <v>106396.17563184224</v>
      </c>
      <c r="I37">
        <f>G37*DATA!$B$7*F36*E37</f>
        <v>4.2809181496369924</v>
      </c>
      <c r="J37">
        <f>H37*'LIFE TABLE MALE'!D97/1000*F36*E36</f>
        <v>10.860929033685144</v>
      </c>
      <c r="K37">
        <f>0</f>
        <v>0</v>
      </c>
      <c r="L37" s="43">
        <f>DATA!$B$8*((1+DATA!$B$9)^A36)*F37*E37</f>
        <v>2.2356100969064117E-2</v>
      </c>
      <c r="M37">
        <f>B36*EXP(RATES!O38)*(DATA!$B$12)</f>
        <v>1282.5714853908441</v>
      </c>
      <c r="N37">
        <f>C36*EXP(RATES!O38)*(DATA!$B$12)</f>
        <v>240.48215351078315</v>
      </c>
      <c r="O37">
        <f t="shared" si="4"/>
        <v>1523.0536389016272</v>
      </c>
      <c r="P37">
        <f t="shared" si="5"/>
        <v>0.34732449804540677</v>
      </c>
      <c r="Q37">
        <f>RATES!G38</f>
        <v>0.40988073390848567</v>
      </c>
      <c r="R37" s="45">
        <f t="shared" si="6"/>
        <v>15.511527782336607</v>
      </c>
      <c r="S37">
        <f t="shared" si="7"/>
        <v>6.3578763914659939</v>
      </c>
      <c r="T37">
        <f>C36*EXP(RATES!O38)*(DATA!$B$6-DATA!$B$12)</f>
        <v>137.41837343473318</v>
      </c>
      <c r="U37">
        <f>B36*EXP(RATES!O38)*(DATA!$B$6-DATA!$B$12)</f>
        <v>732.89799165191084</v>
      </c>
      <c r="V37">
        <f t="shared" si="8"/>
        <v>870.31636508664405</v>
      </c>
      <c r="W37">
        <f t="shared" si="9"/>
        <v>0.19847114174023242</v>
      </c>
    </row>
    <row r="38" spans="1:23" x14ac:dyDescent="0.3">
      <c r="A38" s="5">
        <v>36</v>
      </c>
      <c r="B38">
        <f>B37*EXP(RATES!O39)*(1-DATA!$B$6)</f>
        <v>90361.659728555722</v>
      </c>
      <c r="C38">
        <f>C37*EXP(RATES!O39)*(1-DATA!$B$6)</f>
        <v>16942.811199104188</v>
      </c>
      <c r="D38">
        <f t="shared" si="2"/>
        <v>107304.47092765992</v>
      </c>
      <c r="E38">
        <f>E37*(1-'LIFE TABLE MALE'!D98/1000)</f>
        <v>4.6772681765307828E-2</v>
      </c>
      <c r="F38">
        <f t="shared" si="3"/>
        <v>2.8779372850256733E-3</v>
      </c>
      <c r="G38">
        <f t="shared" si="0"/>
        <v>107284.47092765992</v>
      </c>
      <c r="H38">
        <f t="shared" si="1"/>
        <v>107304.47092765992</v>
      </c>
      <c r="I38">
        <f>G38*DATA!$B$7*F37*E38</f>
        <v>2.5484891812335762</v>
      </c>
      <c r="J38">
        <f>H38*'LIFE TABLE MALE'!D98/1000*F37*E37</f>
        <v>7.4771339762071181</v>
      </c>
      <c r="K38">
        <f>0</f>
        <v>0</v>
      </c>
      <c r="L38" s="43">
        <f>DATA!$B$8*((1+DATA!$B$9)^A37)*F38*E38</f>
        <v>1.3460141117876221E-2</v>
      </c>
      <c r="M38">
        <f>B37*EXP(RATES!O39)*(DATA!$B$12)</f>
        <v>1293.520691410818</v>
      </c>
      <c r="N38">
        <f>C37*EXP(RATES!O39)*(DATA!$B$12)</f>
        <v>242.53512963952826</v>
      </c>
      <c r="O38">
        <f t="shared" si="4"/>
        <v>1536.0558210503464</v>
      </c>
      <c r="P38">
        <f t="shared" si="5"/>
        <v>0.20676669957845961</v>
      </c>
      <c r="Q38">
        <f>RATES!G39</f>
        <v>0.39747018785099719</v>
      </c>
      <c r="R38" s="46">
        <f t="shared" si="6"/>
        <v>10.245849998137031</v>
      </c>
      <c r="S38">
        <f t="shared" si="7"/>
        <v>4.0724199234526646</v>
      </c>
      <c r="T38">
        <f>C37*EXP(RATES!O39)*(DATA!$B$6-DATA!$B$12)</f>
        <v>138.59150265115898</v>
      </c>
      <c r="U38">
        <f>B37*EXP(RATES!O39)*(DATA!$B$6-DATA!$B$12)</f>
        <v>739.15468080618155</v>
      </c>
      <c r="V38">
        <f t="shared" si="8"/>
        <v>877.74618345734052</v>
      </c>
      <c r="W38">
        <f t="shared" si="9"/>
        <v>0.11815239975911974</v>
      </c>
    </row>
    <row r="39" spans="1:23" x14ac:dyDescent="0.3">
      <c r="A39" s="5">
        <v>37</v>
      </c>
      <c r="B39">
        <f>B38*EXP(RATES!O40)*(1-DATA!$B$6)</f>
        <v>91159.651578764926</v>
      </c>
      <c r="C39">
        <f>C38*EXP(RATES!O40)*(1-DATA!$B$6)</f>
        <v>17092.434671018418</v>
      </c>
      <c r="D39">
        <f t="shared" si="2"/>
        <v>108252.08624978334</v>
      </c>
      <c r="E39">
        <f>E38*(1-'LIFE TABLE MALE'!D99/1000)</f>
        <v>3.1217167791388403E-2</v>
      </c>
      <c r="F39">
        <f t="shared" si="3"/>
        <v>2.4462466922718223E-3</v>
      </c>
      <c r="G39">
        <f t="shared" si="0"/>
        <v>108232.08624978334</v>
      </c>
      <c r="H39">
        <f t="shared" si="1"/>
        <v>108252.08624978334</v>
      </c>
      <c r="I39">
        <f>G39*DATA!$B$7*F38*E39</f>
        <v>1.4585526590344218</v>
      </c>
      <c r="J39">
        <f>H39*'LIFE TABLE MALE'!D99/1000*F38*E38</f>
        <v>4.8462070597674334</v>
      </c>
      <c r="K39">
        <f>0</f>
        <v>0</v>
      </c>
      <c r="L39" s="43">
        <f>DATA!$B$8*((1+DATA!$B$9)^A38)*F39*E39</f>
        <v>7.7887889828240431E-3</v>
      </c>
      <c r="M39">
        <f>B38*EXP(RATES!O40)*(DATA!$B$12)</f>
        <v>1304.9438876305819</v>
      </c>
      <c r="N39">
        <f>C38*EXP(RATES!O40)*(DATA!$B$12)</f>
        <v>244.67697893073398</v>
      </c>
      <c r="O39">
        <f t="shared" si="4"/>
        <v>1549.6208665613158</v>
      </c>
      <c r="P39">
        <f t="shared" si="5"/>
        <v>0.11833663236560732</v>
      </c>
      <c r="Q39">
        <f>RATES!G40</f>
        <v>0.38532302185706108</v>
      </c>
      <c r="R39" s="46">
        <f t="shared" si="6"/>
        <v>6.4308851401502869</v>
      </c>
      <c r="S39">
        <f t="shared" si="7"/>
        <v>2.4779680954183783</v>
      </c>
      <c r="T39">
        <f>C38*EXP(RATES!O40)*(DATA!$B$6-DATA!$B$12)</f>
        <v>139.81541653184797</v>
      </c>
      <c r="U39">
        <f>B38*EXP(RATES!O40)*(DATA!$B$6-DATA!$B$12)</f>
        <v>745.68222150318945</v>
      </c>
      <c r="V39">
        <f t="shared" si="8"/>
        <v>885.49763803503743</v>
      </c>
      <c r="W39">
        <f t="shared" si="9"/>
        <v>6.7620932780347018E-2</v>
      </c>
    </row>
    <row r="40" spans="1:23" x14ac:dyDescent="0.3">
      <c r="A40" s="5">
        <v>38</v>
      </c>
      <c r="B40">
        <f>B39*EXP(RATES!O41)*(1-DATA!$B$6)</f>
        <v>91991.509139589645</v>
      </c>
      <c r="C40">
        <f>C39*EXP(RATES!O41)*(1-DATA!$B$6)</f>
        <v>17248.407963673057</v>
      </c>
      <c r="D40">
        <f t="shared" si="2"/>
        <v>109239.91710326271</v>
      </c>
      <c r="E40">
        <f>E39*(1-'LIFE TABLE MALE'!D100/1000)</f>
        <v>2.0085822836336076E-2</v>
      </c>
      <c r="F40">
        <f t="shared" si="3"/>
        <v>2.0793096884310488E-3</v>
      </c>
      <c r="G40">
        <f t="shared" si="0"/>
        <v>109219.91710326271</v>
      </c>
      <c r="H40">
        <f t="shared" si="1"/>
        <v>109239.91710326271</v>
      </c>
      <c r="I40">
        <f>G40*DATA!$B$7*F39*E40</f>
        <v>0.80497608998046633</v>
      </c>
      <c r="J40">
        <f>H40*'LIFE TABLE MALE'!D100/1000*F39*E39</f>
        <v>2.9746046661818148</v>
      </c>
      <c r="K40">
        <f>0</f>
        <v>0</v>
      </c>
      <c r="L40" s="43">
        <f>DATA!$B$8*((1+DATA!$B$9)^A39)*F40*E40</f>
        <v>4.3449538147644472E-3</v>
      </c>
      <c r="M40">
        <f>B39*EXP(RATES!O41)*(DATA!$B$12)</f>
        <v>1316.8518690738806</v>
      </c>
      <c r="N40">
        <f>C39*EXP(RATES!O41)*(DATA!$B$12)</f>
        <v>246.90972545135253</v>
      </c>
      <c r="O40">
        <f t="shared" si="4"/>
        <v>1563.7615945252332</v>
      </c>
      <c r="P40">
        <f t="shared" si="5"/>
        <v>6.5309949460808078E-2</v>
      </c>
      <c r="Q40">
        <f>RATES!G41</f>
        <v>0.37343818647922755</v>
      </c>
      <c r="R40" s="46">
        <f t="shared" si="6"/>
        <v>3.8492356594378538</v>
      </c>
      <c r="S40">
        <f t="shared" si="7"/>
        <v>1.4374515839916457</v>
      </c>
      <c r="T40">
        <f>C39*EXP(RATES!O41)*(DATA!$B$6-DATA!$B$12)</f>
        <v>141.09127168648715</v>
      </c>
      <c r="U40">
        <f>B39*EXP(RATES!O41)*(DATA!$B$6-DATA!$B$12)</f>
        <v>752.48678232793156</v>
      </c>
      <c r="V40">
        <f t="shared" si="8"/>
        <v>893.57805401441874</v>
      </c>
      <c r="W40">
        <f t="shared" si="9"/>
        <v>3.7319971120461745E-2</v>
      </c>
    </row>
    <row r="41" spans="1:23" x14ac:dyDescent="0.3">
      <c r="A41" s="5">
        <v>39</v>
      </c>
      <c r="B41">
        <f>B40*EXP(RATES!O42)*(1-DATA!$B$6)</f>
        <v>92822.74661856427</v>
      </c>
      <c r="C41">
        <f>C40*EXP(RATES!O42)*(1-DATA!$B$6)</f>
        <v>17404.264990980799</v>
      </c>
      <c r="D41">
        <f t="shared" si="2"/>
        <v>110227.01160954506</v>
      </c>
      <c r="E41">
        <f>E40*(1-'LIFE TABLE MALE'!D101/1000)</f>
        <v>1.2471630665793342E-2</v>
      </c>
      <c r="F41">
        <f t="shared" si="3"/>
        <v>1.7674132351663914E-3</v>
      </c>
      <c r="G41">
        <f t="shared" si="0"/>
        <v>110207.01160954506</v>
      </c>
      <c r="H41">
        <f t="shared" si="1"/>
        <v>110227.01160954506</v>
      </c>
      <c r="I41">
        <f>G41*DATA!$B$7*F40*E41</f>
        <v>0.42868955645493434</v>
      </c>
      <c r="J41">
        <f>H41*'LIFE TABLE MALE'!D101/1000*F40*E40</f>
        <v>1.7451430981075666</v>
      </c>
      <c r="K41">
        <f>0</f>
        <v>0</v>
      </c>
      <c r="L41" s="43">
        <f>DATA!$B$8*((1+DATA!$B$9)^A40)*F41*E41</f>
        <v>2.3390412203611638E-3</v>
      </c>
      <c r="M41">
        <f>B40*EXP(RATES!O42)*(DATA!$B$12)</f>
        <v>1328.7509740898772</v>
      </c>
      <c r="N41">
        <f>C40*EXP(RATES!O42)*(DATA!$B$12)</f>
        <v>249.14080764185195</v>
      </c>
      <c r="O41">
        <f t="shared" si="4"/>
        <v>1577.8917817317292</v>
      </c>
      <c r="P41">
        <f t="shared" si="5"/>
        <v>3.4780719208371086E-2</v>
      </c>
      <c r="Q41">
        <f>RATES!G42</f>
        <v>0.36195193998143993</v>
      </c>
      <c r="R41" s="46">
        <f t="shared" si="6"/>
        <v>2.2109524149912332</v>
      </c>
      <c r="S41">
        <f t="shared" si="7"/>
        <v>0.80025851581272656</v>
      </c>
      <c r="T41">
        <f>C40*EXP(RATES!O42)*(DATA!$B$6-DATA!$B$12)</f>
        <v>142.36617579534393</v>
      </c>
      <c r="U41">
        <f>B40*EXP(RATES!O42)*(DATA!$B$6-DATA!$B$12)</f>
        <v>759.28627090850114</v>
      </c>
      <c r="V41">
        <f t="shared" si="8"/>
        <v>901.65244670384504</v>
      </c>
      <c r="W41">
        <f t="shared" si="9"/>
        <v>1.987469669049776E-2</v>
      </c>
    </row>
    <row r="42" spans="1:23" x14ac:dyDescent="0.3">
      <c r="A42" s="6">
        <v>40</v>
      </c>
      <c r="B42">
        <f>B41*EXP(RATES!O43)*(1-DATA!$B$6)</f>
        <v>93686.981367791916</v>
      </c>
      <c r="C42">
        <f>C41*EXP(RATES!O43)*(1-DATA!$B$6)</f>
        <v>17566.309006460986</v>
      </c>
      <c r="D42">
        <f t="shared" si="2"/>
        <v>111253.2903742529</v>
      </c>
      <c r="E42">
        <f>E41*(1-'LIFE TABLE MALE'!D102/1000)</f>
        <v>7.4516144932450555E-3</v>
      </c>
      <c r="F42">
        <f t="shared" si="3"/>
        <v>1.5023012498914326E-3</v>
      </c>
      <c r="G42">
        <f t="shared" si="0"/>
        <v>111233.2903742529</v>
      </c>
      <c r="H42">
        <f t="shared" si="1"/>
        <v>111253.2903742529</v>
      </c>
      <c r="I42">
        <f>G42*DATA!$B$7*F41*E42</f>
        <v>0.21974273461723443</v>
      </c>
      <c r="J42">
        <f>H42*'LIFE TABLE MALE'!D102/1000*F41*E41</f>
        <v>0.98708848009045491</v>
      </c>
      <c r="K42">
        <f>0</f>
        <v>0</v>
      </c>
      <c r="L42" s="43">
        <f>DATA!$B$8*((1+DATA!$B$9)^A41)*F42*E42</f>
        <v>1.2116693167864463E-3</v>
      </c>
      <c r="M42">
        <f>B41*EXP(RATES!O43)*(DATA!$B$12)</f>
        <v>1341.122432667778</v>
      </c>
      <c r="N42">
        <f>C41*EXP(RATES!O43)*(DATA!$B$12)</f>
        <v>251.4604561252084</v>
      </c>
      <c r="O42">
        <f t="shared" si="4"/>
        <v>1592.5828887929863</v>
      </c>
      <c r="P42">
        <f t="shared" si="5"/>
        <v>1.7828280258182005E-2</v>
      </c>
      <c r="Q42">
        <f>RATES!G43</f>
        <v>0.35072355328981947</v>
      </c>
      <c r="R42" s="46">
        <f t="shared" si="6"/>
        <v>1.2258711642826579</v>
      </c>
      <c r="S42">
        <f t="shared" si="7"/>
        <v>0.42994189061274179</v>
      </c>
      <c r="T42">
        <f>C41*EXP(RATES!O43)*(DATA!$B$6-DATA!$B$12)</f>
        <v>143.69168921440476</v>
      </c>
      <c r="U42">
        <f>B41*EXP(RATES!O43)*(DATA!$B$6-DATA!$B$12)</f>
        <v>766.35567581015869</v>
      </c>
      <c r="V42">
        <f t="shared" si="8"/>
        <v>910.04736502456342</v>
      </c>
      <c r="W42">
        <f t="shared" si="9"/>
        <v>1.0187588718961143E-2</v>
      </c>
    </row>
    <row r="43" spans="1:23" x14ac:dyDescent="0.3">
      <c r="A43" s="5">
        <v>41</v>
      </c>
      <c r="B43">
        <f>B42*EXP(RATES!O44)*(1-DATA!$B$6)</f>
        <v>94547.223145914031</v>
      </c>
      <c r="C43">
        <f>C42*EXP(RATES!O44)*(1-DATA!$B$6)</f>
        <v>17727.604339858884</v>
      </c>
      <c r="D43">
        <f t="shared" si="2"/>
        <v>112274.82748577291</v>
      </c>
      <c r="E43">
        <f>E42*(1-'LIFE TABLE MALE'!D103/1000)</f>
        <v>4.2161420347981409E-3</v>
      </c>
      <c r="F43">
        <f t="shared" si="3"/>
        <v>1.2769560624077175E-3</v>
      </c>
      <c r="G43">
        <f t="shared" si="0"/>
        <v>112254.82748577291</v>
      </c>
      <c r="H43">
        <f t="shared" si="1"/>
        <v>112274.82748577291</v>
      </c>
      <c r="I43">
        <f>G43*DATA!$B$7*F42*E43</f>
        <v>0.10665188789876015</v>
      </c>
      <c r="J43">
        <f>H43*'LIFE TABLE MALE'!D103/1000*F42*E42</f>
        <v>0.54572912505669346</v>
      </c>
      <c r="K43">
        <f>0</f>
        <v>0</v>
      </c>
      <c r="L43" s="43">
        <f>DATA!$B$8*((1+DATA!$B$9)^A42)*F43*E43</f>
        <v>5.9438530280061901E-4</v>
      </c>
      <c r="M43">
        <f>B42*EXP(RATES!O44)*(DATA!$B$12)</f>
        <v>1353.4367321500988</v>
      </c>
      <c r="N43">
        <f>C42*EXP(RATES!O44)*(DATA!$B$12)</f>
        <v>253.76938727814354</v>
      </c>
      <c r="O43">
        <f t="shared" si="4"/>
        <v>1607.2061194282423</v>
      </c>
      <c r="P43">
        <f t="shared" si="5"/>
        <v>8.6529215185873268E-3</v>
      </c>
      <c r="Q43">
        <f>RATES!G44</f>
        <v>0.33988676611542612</v>
      </c>
      <c r="R43" s="46">
        <f t="shared" si="6"/>
        <v>0.66162831977684156</v>
      </c>
      <c r="S43">
        <f t="shared" si="7"/>
        <v>0.22487870997933371</v>
      </c>
      <c r="T43">
        <f>C42*EXP(RATES!O44)*(DATA!$B$6-DATA!$B$12)</f>
        <v>145.01107844465344</v>
      </c>
      <c r="U43">
        <f>B42*EXP(RATES!O44)*(DATA!$B$6-DATA!$B$12)</f>
        <v>773.39241837148484</v>
      </c>
      <c r="V43">
        <f t="shared" si="8"/>
        <v>918.40349681613827</v>
      </c>
      <c r="W43">
        <f t="shared" si="9"/>
        <v>4.9445265820498999E-3</v>
      </c>
    </row>
    <row r="44" spans="1:23" x14ac:dyDescent="0.3">
      <c r="A44" s="5">
        <v>42</v>
      </c>
      <c r="B44">
        <f>B43*EXP(RATES!O45)*(1-DATA!$B$6)</f>
        <v>95439.467610481792</v>
      </c>
      <c r="C44">
        <f>C43*EXP(RATES!O45)*(1-DATA!$B$6)</f>
        <v>17894.900176965341</v>
      </c>
      <c r="D44">
        <f t="shared" si="2"/>
        <v>113334.36778744713</v>
      </c>
      <c r="E44">
        <f>E43*(1-'LIFE TABLE MALE'!D104/1000)</f>
        <v>2.2139168837298946E-3</v>
      </c>
      <c r="F44">
        <f t="shared" si="3"/>
        <v>1.08541265304656E-3</v>
      </c>
      <c r="G44">
        <f t="shared" si="0"/>
        <v>113314.36778744713</v>
      </c>
      <c r="H44">
        <f t="shared" si="1"/>
        <v>113334.36778744713</v>
      </c>
      <c r="I44">
        <f>G44*DATA!$B$7*F43*E44</f>
        <v>4.8052225415958084E-2</v>
      </c>
      <c r="J44">
        <f>H44*'LIFE TABLE MALE'!D104/1000*F43*E43</f>
        <v>0.28976804660656047</v>
      </c>
      <c r="K44">
        <f>0</f>
        <v>0</v>
      </c>
      <c r="L44" s="43">
        <f>DATA!$B$8*((1+DATA!$B$9)^A43)*F44*E44</f>
        <v>2.7060339368842708E-4</v>
      </c>
      <c r="M44">
        <f>B43*EXP(RATES!O45)*(DATA!$B$12)</f>
        <v>1366.2091477983079</v>
      </c>
      <c r="N44">
        <f>C43*EXP(RATES!O45)*(DATA!$B$12)</f>
        <v>256.1642152121828</v>
      </c>
      <c r="O44">
        <f t="shared" si="4"/>
        <v>1622.3733630104907</v>
      </c>
      <c r="P44">
        <f t="shared" si="5"/>
        <v>3.8985849285114779E-3</v>
      </c>
      <c r="Q44">
        <f>RATES!G45</f>
        <v>0.32930162970189214</v>
      </c>
      <c r="R44" s="46">
        <f t="shared" si="6"/>
        <v>0.3419894603447185</v>
      </c>
      <c r="S44">
        <f t="shared" si="7"/>
        <v>0.11261768663238642</v>
      </c>
      <c r="T44">
        <f>C43*EXP(RATES!O45)*(DATA!$B$6-DATA!$B$12)</f>
        <v>146.37955154981873</v>
      </c>
      <c r="U44">
        <f>B43*EXP(RATES!O45)*(DATA!$B$6-DATA!$B$12)</f>
        <v>780.69094159903295</v>
      </c>
      <c r="V44">
        <f t="shared" si="8"/>
        <v>927.07049314885171</v>
      </c>
      <c r="W44">
        <f t="shared" si="9"/>
        <v>2.2277628162922728E-3</v>
      </c>
    </row>
    <row r="45" spans="1:23" x14ac:dyDescent="0.3">
      <c r="A45" s="5">
        <v>43</v>
      </c>
      <c r="B45">
        <f>B44*EXP(RATES!O46)*(1-DATA!$B$6)</f>
        <v>96364.465078835521</v>
      </c>
      <c r="C45">
        <f>C44*EXP(RATES!O46)*(1-DATA!$B$6)</f>
        <v>18068.337202281662</v>
      </c>
      <c r="D45">
        <f t="shared" si="2"/>
        <v>114432.80228111718</v>
      </c>
      <c r="E45">
        <f>E44*(1-'LIFE TABLE MALE'!D105/1000)</f>
        <v>1.0858367228099039E-3</v>
      </c>
      <c r="F45">
        <f t="shared" si="3"/>
        <v>9.2260075508957592E-4</v>
      </c>
      <c r="G45">
        <f t="shared" si="0"/>
        <v>114412.80228111718</v>
      </c>
      <c r="H45">
        <f t="shared" si="1"/>
        <v>114432.80228111718</v>
      </c>
      <c r="I45">
        <f>G45*DATA!$B$7*F44*E45</f>
        <v>2.0226711832895927E-2</v>
      </c>
      <c r="J45">
        <f>H45*'LIFE TABLE MALE'!D105/1000*F44*E44</f>
        <v>0.14011523992627631</v>
      </c>
      <c r="K45">
        <f>0</f>
        <v>0</v>
      </c>
      <c r="L45" s="43">
        <f>DATA!$B$8*((1+DATA!$B$9)^A44)*F45*E45</f>
        <v>1.1506826090247404E-4</v>
      </c>
      <c r="M45">
        <f>B44*EXP(RATES!O46)*(DATA!$B$12)</f>
        <v>1379.4504203514286</v>
      </c>
      <c r="N45">
        <f>C44*EXP(RATES!O46)*(DATA!$B$12)</f>
        <v>258.64695381589291</v>
      </c>
      <c r="O45">
        <f t="shared" si="4"/>
        <v>1638.0973741673215</v>
      </c>
      <c r="P45">
        <f t="shared" si="5"/>
        <v>1.6410357610786434E-3</v>
      </c>
      <c r="Q45">
        <f>RATES!G46</f>
        <v>0.3189655855815991</v>
      </c>
      <c r="R45" s="46">
        <f t="shared" si="6"/>
        <v>0.16209805578115336</v>
      </c>
      <c r="S45">
        <f t="shared" si="7"/>
        <v>5.1703701283874297E-2</v>
      </c>
      <c r="T45">
        <f>C44*EXP(RATES!O46)*(DATA!$B$6-DATA!$B$12)</f>
        <v>147.79825932336735</v>
      </c>
      <c r="U45">
        <f>B44*EXP(RATES!O46)*(DATA!$B$6-DATA!$B$12)</f>
        <v>788.25738305795915</v>
      </c>
      <c r="V45">
        <f t="shared" si="8"/>
        <v>936.05564238132649</v>
      </c>
      <c r="W45">
        <f t="shared" si="9"/>
        <v>9.3773472061636754E-4</v>
      </c>
    </row>
    <row r="46" spans="1:23" x14ac:dyDescent="0.3">
      <c r="A46" s="5">
        <v>44</v>
      </c>
      <c r="B46">
        <f>B45*EXP(RATES!O47)*(1-DATA!$B$6)</f>
        <v>97281.312696218753</v>
      </c>
      <c r="C46">
        <f>C45*EXP(RATES!O47)*(1-DATA!$B$6)</f>
        <v>18240.246130541022</v>
      </c>
      <c r="D46">
        <f t="shared" si="2"/>
        <v>115521.55882675978</v>
      </c>
      <c r="E46">
        <f>E45*(1-'LIFE TABLE MALE'!D106/1000)</f>
        <v>4.9467420147581884E-4</v>
      </c>
      <c r="F46">
        <f t="shared" si="3"/>
        <v>7.8421064182613946E-4</v>
      </c>
      <c r="G46">
        <f t="shared" si="0"/>
        <v>115501.55882675978</v>
      </c>
      <c r="H46">
        <f t="shared" si="1"/>
        <v>115521.55882675978</v>
      </c>
      <c r="I46">
        <f>G46*DATA!$B$7*F45*E46</f>
        <v>7.9070078822118806E-3</v>
      </c>
      <c r="J46">
        <f>H46*'LIFE TABLE MALE'!D106/1000*F45*E45</f>
        <v>6.3006265513862458E-2</v>
      </c>
      <c r="K46">
        <f>0</f>
        <v>0</v>
      </c>
      <c r="L46" s="43">
        <f>DATA!$B$8*((1+DATA!$B$9)^A45)*F46*E46</f>
        <v>4.5449528580294977E-5</v>
      </c>
      <c r="M46">
        <f>B45*EXP(RATES!O47)*(DATA!$B$12)</f>
        <v>1392.5750283712298</v>
      </c>
      <c r="N46">
        <f>C45*EXP(RATES!O47)*(DATA!$B$12)</f>
        <v>261.1078178196056</v>
      </c>
      <c r="O46">
        <f t="shared" si="4"/>
        <v>1653.6828461908353</v>
      </c>
      <c r="P46">
        <f t="shared" si="5"/>
        <v>6.4151115751048956E-4</v>
      </c>
      <c r="Q46">
        <f>RATES!G47</f>
        <v>0.30900832177573956</v>
      </c>
      <c r="R46" s="46">
        <f t="shared" si="6"/>
        <v>7.1600234082165121E-2</v>
      </c>
      <c r="S46">
        <f t="shared" si="7"/>
        <v>2.2125068172479955E-2</v>
      </c>
      <c r="T46">
        <f>C45*EXP(RATES!O47)*(DATA!$B$6-DATA!$B$12)</f>
        <v>149.20446732548888</v>
      </c>
      <c r="U46">
        <f>B45*EXP(RATES!O47)*(DATA!$B$6-DATA!$B$12)</f>
        <v>795.75715906927394</v>
      </c>
      <c r="V46">
        <f t="shared" si="8"/>
        <v>944.96162639476279</v>
      </c>
      <c r="W46">
        <f t="shared" si="9"/>
        <v>3.665778042917082E-4</v>
      </c>
    </row>
    <row r="47" spans="1:23" x14ac:dyDescent="0.3">
      <c r="A47" s="6">
        <v>45</v>
      </c>
      <c r="B47">
        <f>B46*EXP(RATES!O48)*(1-DATA!$B$6)</f>
        <v>98229.776108477323</v>
      </c>
      <c r="C47">
        <f>C46*EXP(RATES!O48)*(1-DATA!$B$6)</f>
        <v>18418.083020339505</v>
      </c>
      <c r="D47">
        <f t="shared" si="2"/>
        <v>116647.85912881682</v>
      </c>
      <c r="E47">
        <f>E46*(1-'LIFE TABLE MALE'!D107/1000)</f>
        <v>2.0813801883623825E-4</v>
      </c>
      <c r="F47">
        <f t="shared" si="3"/>
        <v>6.6657904555221851E-4</v>
      </c>
      <c r="G47">
        <f t="shared" si="0"/>
        <v>116627.85912881682</v>
      </c>
      <c r="H47">
        <f t="shared" si="1"/>
        <v>116647.85912881682</v>
      </c>
      <c r="I47">
        <f>G47*DATA!$B$7*F46*E47</f>
        <v>2.8554707149288667E-3</v>
      </c>
      <c r="J47">
        <f>H47*'LIFE TABLE MALE'!D107/1000*F46*E46</f>
        <v>2.6211324955060445E-2</v>
      </c>
      <c r="K47">
        <f>0</f>
        <v>0</v>
      </c>
      <c r="L47" s="43">
        <f>DATA!$B$8*((1+DATA!$B$9)^A46)*F47*E47</f>
        <v>1.6579851462075104E-5</v>
      </c>
      <c r="M47">
        <f>B46*EXP(RATES!O48)*(DATA!$B$12)</f>
        <v>1406.1522142317817</v>
      </c>
      <c r="N47">
        <f>C46*EXP(RATES!O48)*(DATA!$B$12)</f>
        <v>263.65354016845919</v>
      </c>
      <c r="O47">
        <f t="shared" si="4"/>
        <v>1669.8057544002409</v>
      </c>
      <c r="P47">
        <f t="shared" si="5"/>
        <v>2.3166958831775697E-4</v>
      </c>
      <c r="Q47">
        <f>RATES!G48</f>
        <v>0.29929213083059769</v>
      </c>
      <c r="R47" s="46">
        <f t="shared" si="6"/>
        <v>2.9315045109769143E-2</v>
      </c>
      <c r="S47">
        <f t="shared" si="7"/>
        <v>8.7737623162979003E-3</v>
      </c>
      <c r="T47">
        <f>C46*EXP(RATES!O48)*(DATA!$B$6-DATA!$B$12)</f>
        <v>150.65916581054805</v>
      </c>
      <c r="U47">
        <f>B46*EXP(RATES!O48)*(DATA!$B$6-DATA!$B$12)</f>
        <v>803.51555098958943</v>
      </c>
      <c r="V47">
        <f t="shared" si="8"/>
        <v>954.1747168001375</v>
      </c>
      <c r="W47">
        <f t="shared" si="9"/>
        <v>1.323826218958611E-4</v>
      </c>
    </row>
    <row r="48" spans="1:23" x14ac:dyDescent="0.3">
      <c r="A48" s="5">
        <v>46</v>
      </c>
      <c r="B48">
        <f>B47*EXP(RATES!O49)*(1-DATA!$B$6)</f>
        <v>99166.189047448002</v>
      </c>
      <c r="C48">
        <f>C47*EXP(RATES!O49)*(1-DATA!$B$6)</f>
        <v>18593.660446396509</v>
      </c>
      <c r="D48">
        <f t="shared" si="2"/>
        <v>117759.84949384451</v>
      </c>
      <c r="E48">
        <f>E47*(1-'LIFE TABLE MALE'!D108/1000)</f>
        <v>8.0415959354706781E-5</v>
      </c>
      <c r="F48">
        <f t="shared" si="3"/>
        <v>5.665921887193857E-4</v>
      </c>
      <c r="G48">
        <f t="shared" si="0"/>
        <v>117739.84949384451</v>
      </c>
      <c r="H48">
        <f t="shared" si="1"/>
        <v>117759.84949384451</v>
      </c>
      <c r="I48">
        <f>G48*DATA!$B$7*F47*E48</f>
        <v>9.4669185348419341E-4</v>
      </c>
      <c r="J48">
        <f>H48*'LIFE TABLE MALE'!D108/1000*F47*E47</f>
        <v>1.0025702466348227E-2</v>
      </c>
      <c r="K48">
        <f>0</f>
        <v>0</v>
      </c>
      <c r="L48" s="43">
        <f>DATA!$B$8*((1+DATA!$B$9)^A47)*F48*E48</f>
        <v>5.5538041910564841E-6</v>
      </c>
      <c r="M48">
        <f>B47*EXP(RATES!O49)*(DATA!$B$12)</f>
        <v>1419.5568984297261</v>
      </c>
      <c r="N48">
        <f>C47*EXP(RATES!O49)*(DATA!$B$12)</f>
        <v>266.16691845557375</v>
      </c>
      <c r="O48">
        <f t="shared" si="4"/>
        <v>1685.7238168852998</v>
      </c>
      <c r="P48">
        <f t="shared" si="5"/>
        <v>7.680672600373205E-5</v>
      </c>
      <c r="Q48">
        <f>RATES!G49</f>
        <v>0.28994370460990543</v>
      </c>
      <c r="R48" s="46">
        <f t="shared" si="6"/>
        <v>1.1054754850027208E-2</v>
      </c>
      <c r="S48">
        <f t="shared" si="7"/>
        <v>3.2052565747712081E-3</v>
      </c>
      <c r="T48">
        <f>C47*EXP(RATES!O49)*(DATA!$B$6-DATA!$B$12)</f>
        <v>152.09538197461353</v>
      </c>
      <c r="U48">
        <f>B47*EXP(RATES!O49)*(DATA!$B$6-DATA!$B$12)</f>
        <v>811.17537053127182</v>
      </c>
      <c r="V48">
        <f t="shared" si="8"/>
        <v>963.27075250588541</v>
      </c>
      <c r="W48">
        <f t="shared" si="9"/>
        <v>4.3889557716418302E-5</v>
      </c>
    </row>
    <row r="49" spans="1:23" x14ac:dyDescent="0.3">
      <c r="A49" s="5">
        <v>47</v>
      </c>
      <c r="B49">
        <f>B48*EXP(RATES!O50)*(1-DATA!$B$6)</f>
        <v>100132.91784628085</v>
      </c>
      <c r="C49">
        <f>C48*EXP(RATES!O50)*(1-DATA!$B$6)</f>
        <v>18774.92209617767</v>
      </c>
      <c r="D49">
        <f t="shared" si="2"/>
        <v>118907.83994245852</v>
      </c>
      <c r="E49">
        <f>E48*(1-'LIFE TABLE MALE'!D109/1000)</f>
        <v>2.836260995277507E-5</v>
      </c>
      <c r="F49">
        <f t="shared" si="3"/>
        <v>4.8160336041147783E-4</v>
      </c>
      <c r="G49">
        <f t="shared" si="0"/>
        <v>118887.83994245852</v>
      </c>
      <c r="H49">
        <f t="shared" si="1"/>
        <v>118907.83994245852</v>
      </c>
      <c r="I49">
        <f>G49*DATA!$B$7*F48*E49</f>
        <v>2.8657973115110875E-4</v>
      </c>
      <c r="J49">
        <f>H49*'LIFE TABLE MALE'!D109/1000*F48*E48</f>
        <v>3.5069514404421358E-3</v>
      </c>
      <c r="K49">
        <f>0</f>
        <v>0</v>
      </c>
      <c r="L49" s="43">
        <f>DATA!$B$8*((1+DATA!$B$9)^A48)*F49*E49</f>
        <v>1.6982968593746063E-6</v>
      </c>
      <c r="M49">
        <f>B48*EXP(RATES!O50)*(DATA!$B$12)</f>
        <v>1433.3955519917506</v>
      </c>
      <c r="N49">
        <f>C48*EXP(RATES!O50)*(DATA!$B$12)</f>
        <v>268.7616659984534</v>
      </c>
      <c r="O49">
        <f t="shared" si="4"/>
        <v>1702.1572179902041</v>
      </c>
      <c r="P49">
        <f t="shared" si="5"/>
        <v>2.3250664627711335E-5</v>
      </c>
      <c r="Q49">
        <f>RATES!G50</f>
        <v>0.28082727798558355</v>
      </c>
      <c r="R49" s="46">
        <f t="shared" si="6"/>
        <v>3.8184801330803306E-3</v>
      </c>
      <c r="S49">
        <f t="shared" si="7"/>
        <v>1.072333381814978E-3</v>
      </c>
      <c r="T49">
        <f>C48*EXP(RATES!O50)*(DATA!$B$6-DATA!$B$12)</f>
        <v>153.57809485625904</v>
      </c>
      <c r="U49">
        <f>B48*EXP(RATES!O50)*(DATA!$B$6-DATA!$B$12)</f>
        <v>819.08317256671444</v>
      </c>
      <c r="V49">
        <f t="shared" si="8"/>
        <v>972.66126742297342</v>
      </c>
      <c r="W49">
        <f t="shared" si="9"/>
        <v>1.3286094072977901E-5</v>
      </c>
    </row>
    <row r="50" spans="1:23" x14ac:dyDescent="0.3">
      <c r="A50" s="5">
        <v>48</v>
      </c>
      <c r="B50">
        <f>B49*EXP(RATES!O51)*(1-DATA!$B$6)</f>
        <v>101130.66967745037</v>
      </c>
      <c r="C50">
        <f>C49*EXP(RATES!O51)*(1-DATA!$B$6)</f>
        <v>18962.000564521957</v>
      </c>
      <c r="D50">
        <f t="shared" si="2"/>
        <v>120092.67024197232</v>
      </c>
      <c r="E50">
        <f>E49*(1-'LIFE TABLE MALE'!D110/1000)</f>
        <v>9.0786411414904827E-6</v>
      </c>
      <c r="F50">
        <f t="shared" si="3"/>
        <v>4.0936285634975616E-4</v>
      </c>
      <c r="G50">
        <f t="shared" si="0"/>
        <v>120072.67024197232</v>
      </c>
      <c r="H50">
        <f t="shared" si="1"/>
        <v>120092.67024197232</v>
      </c>
      <c r="I50">
        <f>G50*DATA!$B$7*F49*E50</f>
        <v>7.8749133930149971E-5</v>
      </c>
      <c r="J50">
        <f>H50*'LIFE TABLE MALE'!D110/1000*F49*E49</f>
        <v>1.1153275511023332E-3</v>
      </c>
      <c r="K50">
        <f>0</f>
        <v>0</v>
      </c>
      <c r="L50" s="43">
        <f>DATA!$B$8*((1+DATA!$B$9)^A49)*F50*E50</f>
        <v>4.7131076692477652E-7</v>
      </c>
      <c r="M50">
        <f>B49*EXP(RATES!O51)*(DATA!$B$12)</f>
        <v>1447.678298041212</v>
      </c>
      <c r="N50">
        <f>C49*EXP(RATES!O51)*(DATA!$B$12)</f>
        <v>271.43968088272743</v>
      </c>
      <c r="O50">
        <f t="shared" si="4"/>
        <v>1719.1179789239395</v>
      </c>
      <c r="P50">
        <f t="shared" si="5"/>
        <v>6.3890305727641589E-6</v>
      </c>
      <c r="Q50">
        <f>RATES!G51</f>
        <v>0.27193939918145021</v>
      </c>
      <c r="R50" s="46">
        <f t="shared" si="6"/>
        <v>1.200937026372172E-3</v>
      </c>
      <c r="S50">
        <f t="shared" si="7"/>
        <v>3.2658209340640589E-4</v>
      </c>
      <c r="T50">
        <f>C49*EXP(RATES!O51)*(DATA!$B$6-DATA!$B$12)</f>
        <v>155.1083890758442</v>
      </c>
      <c r="U50">
        <f>B49*EXP(RATES!O51)*(DATA!$B$6-DATA!$B$12)</f>
        <v>827.24474173783517</v>
      </c>
      <c r="V50">
        <f t="shared" si="8"/>
        <v>982.3531308136794</v>
      </c>
      <c r="W50">
        <f t="shared" si="9"/>
        <v>3.6508746130080902E-6</v>
      </c>
    </row>
    <row r="51" spans="1:23" x14ac:dyDescent="0.3">
      <c r="A51" s="5">
        <v>49</v>
      </c>
      <c r="B51">
        <f>B50*EXP(RATES!O52)*(1-DATA!$B$6)</f>
        <v>102111.47643077932</v>
      </c>
      <c r="C51">
        <f>C50*EXP(RATES!O52)*(1-DATA!$B$6)</f>
        <v>19145.901830771138</v>
      </c>
      <c r="D51">
        <f t="shared" si="2"/>
        <v>121257.37826155046</v>
      </c>
      <c r="E51">
        <f>E50*(1-'LIFE TABLE MALE'!D111/1000)</f>
        <v>2.622101305262309E-6</v>
      </c>
      <c r="F51">
        <f t="shared" si="3"/>
        <v>3.4795842789729273E-4</v>
      </c>
      <c r="G51">
        <f t="shared" si="0"/>
        <v>121237.37826155046</v>
      </c>
      <c r="H51">
        <f t="shared" si="1"/>
        <v>121257.37826155046</v>
      </c>
      <c r="I51">
        <f>G51*DATA!$B$7*F50*E51</f>
        <v>1.9520264420442315E-5</v>
      </c>
      <c r="J51">
        <f>H51*'LIFE TABLE MALE'!D111/1000*F50*E50</f>
        <v>3.2049144647016098E-4</v>
      </c>
      <c r="K51">
        <f>0</f>
        <v>0</v>
      </c>
      <c r="L51" s="43">
        <f>DATA!$B$8*((1+DATA!$B$9)^A50)*F51*E51</f>
        <v>1.1801985469847796E-7</v>
      </c>
      <c r="M51">
        <f>B50*EXP(RATES!O52)*(DATA!$B$12)</f>
        <v>1461.7184765142235</v>
      </c>
      <c r="N51">
        <f>C50*EXP(RATES!O52)*(DATA!$B$12)</f>
        <v>274.07221434641713</v>
      </c>
      <c r="O51">
        <f t="shared" si="4"/>
        <v>1735.7906908606406</v>
      </c>
      <c r="P51">
        <f t="shared" si="5"/>
        <v>1.5837046125267768E-6</v>
      </c>
      <c r="Q51">
        <f>RATES!G52</f>
        <v>0.26340215020802832</v>
      </c>
      <c r="R51" s="46">
        <f t="shared" si="6"/>
        <v>3.4171343535782856E-4</v>
      </c>
      <c r="S51">
        <f t="shared" si="7"/>
        <v>9.0008053628224131E-5</v>
      </c>
      <c r="T51">
        <f>C50*EXP(RATES!O52)*(DATA!$B$6-DATA!$B$12)</f>
        <v>156.61269391223831</v>
      </c>
      <c r="U51">
        <f>B50*EXP(RATES!O52)*(DATA!$B$6-DATA!$B$12)</f>
        <v>835.2677008652704</v>
      </c>
      <c r="V51">
        <f t="shared" si="8"/>
        <v>991.88039477750874</v>
      </c>
      <c r="W51">
        <f t="shared" si="9"/>
        <v>9.0497406430101503E-7</v>
      </c>
    </row>
    <row r="52" spans="1:23" x14ac:dyDescent="0.3">
      <c r="A52" s="6">
        <v>50</v>
      </c>
      <c r="B52">
        <f>B51*EXP(RATES!O53)*(1-DATA!$B$6)</f>
        <v>103171.99920404634</v>
      </c>
      <c r="C52">
        <f>C51*EXP(RATES!O53)*(1-DATA!$B$6)</f>
        <v>19344.749850758704</v>
      </c>
      <c r="D52">
        <f t="shared" si="2"/>
        <v>122516.74905480504</v>
      </c>
      <c r="E52">
        <f>E51*(1-'LIFE TABLE MALE'!D112/1000)</f>
        <v>6.794887101443695E-7</v>
      </c>
      <c r="F52">
        <f t="shared" si="3"/>
        <v>2.957646637126988E-4</v>
      </c>
      <c r="G52">
        <f t="shared" si="0"/>
        <v>122496.74905480504</v>
      </c>
      <c r="H52">
        <f t="shared" si="1"/>
        <v>122516.74905480504</v>
      </c>
      <c r="I52">
        <f>G52*DATA!$B$7*F51*E52</f>
        <v>4.3443562091524203E-6</v>
      </c>
      <c r="J52">
        <f>H52*'LIFE TABLE MALE'!D112/1000*F51*E51</f>
        <v>8.2815003512022174E-5</v>
      </c>
      <c r="K52">
        <f>E52*D52*F52</f>
        <v>2.462203789352743E-5</v>
      </c>
      <c r="L52" s="43">
        <f>DATA!$B$8*((1+DATA!$B$9)^A51)*F52*E52</f>
        <v>2.6515935358856599E-8</v>
      </c>
      <c r="M52">
        <f>B51*EXP(RATES!O53)*(DATA!$B$12)</f>
        <v>1476.8997841070029</v>
      </c>
      <c r="N52">
        <f>C51*EXP(RATES!O53)*(DATA!$B$12)</f>
        <v>276.91870952006326</v>
      </c>
      <c r="O52">
        <f t="shared" si="4"/>
        <v>1753.8184936270661</v>
      </c>
      <c r="P52">
        <f t="shared" si="5"/>
        <v>3.5246271013229453E-7</v>
      </c>
      <c r="Q52">
        <f>RATES!G53</f>
        <v>0.25495931300893881</v>
      </c>
      <c r="R52" s="46">
        <f t="shared" si="6"/>
        <v>1.1216037626019318E-4</v>
      </c>
      <c r="S52">
        <f t="shared" si="7"/>
        <v>2.8596332478122943E-5</v>
      </c>
      <c r="T52">
        <f>C51*EXP(RATES!O53)*(DATA!$B$6-DATA!$B$12)</f>
        <v>158.23926258289325</v>
      </c>
      <c r="U52">
        <f>B51*EXP(RATES!O53)*(DATA!$B$6-DATA!$B$12)</f>
        <v>843.94273377543004</v>
      </c>
      <c r="V52">
        <f>T52+U52</f>
        <v>1002.1819963583233</v>
      </c>
      <c r="W52">
        <f t="shared" si="9"/>
        <v>2.0140726293273971E-7</v>
      </c>
    </row>
    <row r="56" spans="1:23" x14ac:dyDescent="0.3">
      <c r="P56" s="52" t="s">
        <v>56</v>
      </c>
      <c r="Q56" s="47">
        <f>SUM(S3:S52)</f>
        <v>89780.517511147918</v>
      </c>
      <c r="T56" s="56" t="s">
        <v>59</v>
      </c>
    </row>
    <row r="57" spans="1:23" x14ac:dyDescent="0.3">
      <c r="P57" s="54" t="s">
        <v>57</v>
      </c>
      <c r="Q57" s="48">
        <f>$B$2+$C$2-Q56</f>
        <v>5219.4824888520816</v>
      </c>
      <c r="T57" s="52" t="s">
        <v>60</v>
      </c>
      <c r="U57" s="47">
        <f>SUMPRODUCT(J3:J52,Q3:Q52)</f>
        <v>6107.1946544090615</v>
      </c>
    </row>
    <row r="58" spans="1:23" x14ac:dyDescent="0.3">
      <c r="T58" s="53" t="s">
        <v>61</v>
      </c>
      <c r="U58" s="50">
        <f>SUMPRODUCT(I3:I52,Q3:Q52)</f>
        <v>77164.946886007252</v>
      </c>
    </row>
    <row r="59" spans="1:23" x14ac:dyDescent="0.3">
      <c r="P59" s="55" t="s">
        <v>58</v>
      </c>
      <c r="Q59" s="49">
        <f>SUMPRODUCT(S3:S52,A3:A52)/SUM(S3:S52)</f>
        <v>5.6130991945379405</v>
      </c>
      <c r="T59" s="53" t="s">
        <v>47</v>
      </c>
      <c r="U59" s="51">
        <f>SUMPRODUCT(L3:L52,Q3:Q52)</f>
        <v>247.61986652066759</v>
      </c>
    </row>
    <row r="60" spans="1:23" x14ac:dyDescent="0.3">
      <c r="T60" s="54" t="s">
        <v>48</v>
      </c>
      <c r="U60" s="48">
        <f>SUMPRODUCT(P3:P52,Q3:Q52)</f>
        <v>6260.7560979332602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28F0-25A7-406F-B882-DD1336F70A82}">
  <dimension ref="A1:W60"/>
  <sheetViews>
    <sheetView topLeftCell="A12" zoomScale="86" zoomScaleNormal="100" workbookViewId="0">
      <selection activeCell="Q59" sqref="Q59"/>
    </sheetView>
  </sheetViews>
  <sheetFormatPr defaultColWidth="8.796875" defaultRowHeight="15.6" x14ac:dyDescent="0.3"/>
  <cols>
    <col min="2" max="2" width="12" bestFit="1" customWidth="1"/>
    <col min="4" max="4" width="12" bestFit="1" customWidth="1"/>
    <col min="5" max="5" width="14.19921875" bestFit="1" customWidth="1"/>
    <col min="6" max="6" width="14.5" bestFit="1" customWidth="1"/>
    <col min="7" max="11" width="12" bestFit="1" customWidth="1"/>
    <col min="12" max="12" width="9.296875" bestFit="1" customWidth="1"/>
    <col min="13" max="13" width="15.796875" bestFit="1" customWidth="1"/>
    <col min="14" max="14" width="16" bestFit="1" customWidth="1"/>
    <col min="15" max="15" width="16.796875" bestFit="1" customWidth="1"/>
    <col min="16" max="16" width="17.19921875" bestFit="1" customWidth="1"/>
    <col min="17" max="17" width="12.69921875" bestFit="1" customWidth="1"/>
    <col min="18" max="18" width="10.5" bestFit="1" customWidth="1"/>
    <col min="19" max="19" width="12.5" bestFit="1" customWidth="1"/>
    <col min="20" max="20" width="16.796875" bestFit="1" customWidth="1"/>
  </cols>
  <sheetData>
    <row r="1" spans="1:23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</row>
    <row r="2" spans="1:23" x14ac:dyDescent="0.3">
      <c r="A2" s="41">
        <v>0</v>
      </c>
      <c r="B2">
        <f>DATA!B2*0.8</f>
        <v>80000</v>
      </c>
      <c r="C2">
        <f>DATA!B2*0.2</f>
        <v>20000</v>
      </c>
      <c r="D2">
        <f>B2+C2</f>
        <v>100000</v>
      </c>
      <c r="E2">
        <f>1</f>
        <v>1</v>
      </c>
      <c r="F2">
        <f>1</f>
        <v>1</v>
      </c>
      <c r="G2">
        <f>D2-20</f>
        <v>99980</v>
      </c>
      <c r="H2">
        <f>MAX(D2,DATA!$B$3)</f>
        <v>100000</v>
      </c>
      <c r="M2">
        <f>B2</f>
        <v>80000</v>
      </c>
      <c r="N2">
        <f>C2</f>
        <v>20000</v>
      </c>
      <c r="Q2">
        <f>RATES!G3</f>
        <v>1</v>
      </c>
    </row>
    <row r="3" spans="1:23" x14ac:dyDescent="0.3">
      <c r="A3" s="5">
        <v>1</v>
      </c>
      <c r="B3">
        <f>B2*EXP(RATES!P4)*(1-DATA!$B$6)</f>
        <v>82914.0576</v>
      </c>
      <c r="C3">
        <f>C2*EXP(RATES!P4)*(1-DATA!$B$6)</f>
        <v>20728.5144</v>
      </c>
      <c r="D3">
        <f>B3+C3</f>
        <v>103642.572</v>
      </c>
      <c r="E3">
        <f>E2*(1-'LIFE TABLE MALE'!D63/1000)</f>
        <v>0.99353212999999996</v>
      </c>
      <c r="F3">
        <f>F2*(1-0.15)</f>
        <v>0.85</v>
      </c>
      <c r="G3">
        <f t="shared" ref="G3:G52" si="0">D3-20</f>
        <v>103622.572</v>
      </c>
      <c r="H3">
        <f>MAX(D3,DATA!$B$3)</f>
        <v>103642.572</v>
      </c>
      <c r="I3">
        <f>G3*DATA!$B$7*F2*E3</f>
        <v>15442.853201285754</v>
      </c>
      <c r="J3">
        <f>H3*'LIFE TABLE MALE'!D63/1000*F2*E2</f>
        <v>670.34668216163993</v>
      </c>
      <c r="K3">
        <f>0</f>
        <v>0</v>
      </c>
      <c r="L3" s="43">
        <f>DATA!$B$8*((1+DATA!$B$9)^A2)*F3*E3</f>
        <v>42.225115525</v>
      </c>
      <c r="M3">
        <f>B2*EXP(RATES!P4)*(DATA!$B$12)</f>
        <v>1186.9087999999999</v>
      </c>
      <c r="N3">
        <f>C2*EXP(RATES!P4)*(DATA!$B$12)</f>
        <v>296.72719999999998</v>
      </c>
      <c r="O3">
        <f>M3+N3</f>
        <v>1483.636</v>
      </c>
      <c r="P3">
        <f>O3*E3*F3</f>
        <v>1252.934029940978</v>
      </c>
      <c r="Q3">
        <f>RATES!H4</f>
        <v>0.94362768226168692</v>
      </c>
      <c r="R3" s="43">
        <f>P3+L3+K3+J3+I3</f>
        <v>17408.359028913372</v>
      </c>
      <c r="S3">
        <f>R3*Q3</f>
        <v>16427.009482432837</v>
      </c>
      <c r="T3">
        <f>C2*EXP(RATES!P4)*(DATA!$B$6-DATA!$B$12)</f>
        <v>169.55839999999995</v>
      </c>
      <c r="U3">
        <f>B2*EXP(RATES!P4)*(DATA!$B$6-DATA!$B$12)</f>
        <v>678.2335999999998</v>
      </c>
      <c r="V3">
        <f>T3+U3</f>
        <v>847.79199999999969</v>
      </c>
      <c r="W3">
        <f>V3*E3*F3</f>
        <v>715.96230282341571</v>
      </c>
    </row>
    <row r="4" spans="1:23" x14ac:dyDescent="0.3">
      <c r="A4" s="5">
        <v>2</v>
      </c>
      <c r="B4">
        <f>B3*EXP(RATES!P5)*(1-DATA!$B$6)</f>
        <v>84619.187587123233</v>
      </c>
      <c r="C4">
        <f>C3*EXP(RATES!P5)*(1-DATA!$B$6)</f>
        <v>21154.796896780808</v>
      </c>
      <c r="D4">
        <f t="shared" ref="D4:D52" si="1">B4+C4</f>
        <v>105773.98448390405</v>
      </c>
      <c r="E4">
        <f>E3*(1-'LIFE TABLE MALE'!D64/1000)</f>
        <v>0.98647779355864618</v>
      </c>
      <c r="F4">
        <f t="shared" ref="F4:F52" si="2">F3*(1-0.15)</f>
        <v>0.72249999999999992</v>
      </c>
      <c r="G4">
        <f t="shared" si="0"/>
        <v>105753.98448390405</v>
      </c>
      <c r="H4">
        <f>MAX(D4,DATA!$B$3)</f>
        <v>105773.98448390405</v>
      </c>
      <c r="I4">
        <f>G4*DATA!$B$7*F3*E4</f>
        <v>13301.304552398911</v>
      </c>
      <c r="J4">
        <f>H4*'LIFE TABLE MALE'!D64/1000*F3*E3</f>
        <v>634.24048229819618</v>
      </c>
      <c r="K4">
        <f>0</f>
        <v>0</v>
      </c>
      <c r="L4" s="43">
        <f>DATA!$B$8*((1+DATA!$B$9)^A3)*F4*E4</f>
        <v>36.349240498152213</v>
      </c>
      <c r="M4">
        <f>B3*EXP(RATES!P5)*(DATA!$B$12)</f>
        <v>1211.3176137216005</v>
      </c>
      <c r="N4">
        <f>C3*EXP(RATES!P5)*(DATA!$B$12)</f>
        <v>302.82940343040013</v>
      </c>
      <c r="O4">
        <f t="shared" ref="O4:O52" si="3">M4+N4</f>
        <v>1514.1470171520007</v>
      </c>
      <c r="P4">
        <f t="shared" ref="P4:P52" si="4">O4*E4*F4</f>
        <v>1079.1783152160367</v>
      </c>
      <c r="Q4">
        <f>RATES!H5</f>
        <v>0.90427150368486997</v>
      </c>
      <c r="R4" s="43">
        <f t="shared" ref="R4:R52" si="5">P4+L4+K4+J4+I4</f>
        <v>15051.072590411297</v>
      </c>
      <c r="S4">
        <f t="shared" ref="S4:S52" si="6">R4*Q4</f>
        <v>13610.256043401354</v>
      </c>
      <c r="T4">
        <f>C3*EXP(RATES!P5)*(DATA!$B$6-DATA!$B$12)</f>
        <v>173.04537338880004</v>
      </c>
      <c r="U4">
        <f>B3*EXP(RATES!P5)*(DATA!$B$6-DATA!$B$12)</f>
        <v>692.18149355520018</v>
      </c>
      <c r="V4">
        <f t="shared" ref="V4:V51" si="7">T4+U4</f>
        <v>865.22686694400022</v>
      </c>
      <c r="W4">
        <f t="shared" ref="W4:W52" si="8">V4*E4*F4</f>
        <v>616.67332298059227</v>
      </c>
    </row>
    <row r="5" spans="1:23" x14ac:dyDescent="0.3">
      <c r="A5" s="5">
        <v>3</v>
      </c>
      <c r="B5">
        <f>B4*EXP(RATES!P6)*(1-DATA!$B$6)</f>
        <v>85556.521034060919</v>
      </c>
      <c r="C5">
        <f>C4*EXP(RATES!P6)*(1-DATA!$B$6)</f>
        <v>21389.13025851523</v>
      </c>
      <c r="D5">
        <f t="shared" si="1"/>
        <v>106945.65129257615</v>
      </c>
      <c r="E5">
        <f>E4*(1-'LIFE TABLE MALE'!D65/1000)</f>
        <v>0.97876837095420599</v>
      </c>
      <c r="F5">
        <f t="shared" si="2"/>
        <v>0.61412499999999992</v>
      </c>
      <c r="G5">
        <f t="shared" si="0"/>
        <v>106925.65129257615</v>
      </c>
      <c r="H5">
        <f>MAX(D5,DATA!$B$3)</f>
        <v>106945.65129257615</v>
      </c>
      <c r="I5">
        <f>G5*DATA!$B$7*F4*E5</f>
        <v>11342.03390918936</v>
      </c>
      <c r="J5">
        <f>H5*'LIFE TABLE MALE'!D65/1000*F4*E4</f>
        <v>595.69346254932952</v>
      </c>
      <c r="K5">
        <f>0</f>
        <v>0</v>
      </c>
      <c r="L5" s="43">
        <f>DATA!$B$8*((1+DATA!$B$9)^A4)*F5*E5</f>
        <v>31.268500264753332</v>
      </c>
      <c r="M5">
        <f>B4*EXP(RATES!P6)*(DATA!$B$12)</f>
        <v>1224.7354749252074</v>
      </c>
      <c r="N5">
        <f>C4*EXP(RATES!P6)*(DATA!$B$12)</f>
        <v>306.18386873130186</v>
      </c>
      <c r="O5">
        <f t="shared" si="3"/>
        <v>1530.9193436565092</v>
      </c>
      <c r="P5">
        <f t="shared" si="4"/>
        <v>920.21437720952622</v>
      </c>
      <c r="Q5">
        <f>RATES!H6</f>
        <v>0.87468853636775745</v>
      </c>
      <c r="R5" s="43">
        <f t="shared" si="5"/>
        <v>12889.210249212969</v>
      </c>
      <c r="S5">
        <f t="shared" si="6"/>
        <v>11274.04444782039</v>
      </c>
      <c r="T5">
        <f>C4*EXP(RATES!P6)*(DATA!$B$6-DATA!$B$12)</f>
        <v>174.96221070360104</v>
      </c>
      <c r="U5">
        <f>B4*EXP(RATES!P6)*(DATA!$B$6-DATA!$B$12)</f>
        <v>699.84884281440418</v>
      </c>
      <c r="V5">
        <f t="shared" si="7"/>
        <v>874.81105351800522</v>
      </c>
      <c r="W5">
        <f t="shared" si="8"/>
        <v>525.83678697687208</v>
      </c>
    </row>
    <row r="6" spans="1:23" x14ac:dyDescent="0.3">
      <c r="A6" s="5">
        <v>4</v>
      </c>
      <c r="B6">
        <f>B5*EXP(RATES!P7)*(1-DATA!$B$6)</f>
        <v>86258.038293227524</v>
      </c>
      <c r="C6">
        <f>C5*EXP(RATES!P7)*(1-DATA!$B$6)</f>
        <v>21564.509573306881</v>
      </c>
      <c r="D6">
        <f t="shared" si="1"/>
        <v>107822.54786653441</v>
      </c>
      <c r="E6">
        <f>E5*(1-'LIFE TABLE MALE'!D66/1000)</f>
        <v>0.97028747025977602</v>
      </c>
      <c r="F6">
        <f t="shared" si="2"/>
        <v>0.52200624999999989</v>
      </c>
      <c r="G6">
        <f t="shared" si="0"/>
        <v>107802.54786653441</v>
      </c>
      <c r="H6">
        <f>MAX(D6,DATA!$B$3)</f>
        <v>107822.54786653441</v>
      </c>
      <c r="I6">
        <f>G6*DATA!$B$7*F5*E6</f>
        <v>9635.5716400899983</v>
      </c>
      <c r="J6">
        <f>H6*'LIFE TABLE MALE'!D66/1000*F5*E5</f>
        <v>561.57574918110583</v>
      </c>
      <c r="K6">
        <f>0</f>
        <v>0</v>
      </c>
      <c r="L6" s="43">
        <f>DATA!$B$8*((1+DATA!$B$9)^A5)*F6*E6</f>
        <v>26.874886925807328</v>
      </c>
      <c r="M6">
        <f>B5*EXP(RATES!P7)*(DATA!$B$12)</f>
        <v>1234.7776442793308</v>
      </c>
      <c r="N6">
        <f>C5*EXP(RATES!P7)*(DATA!$B$12)</f>
        <v>308.69441106983271</v>
      </c>
      <c r="O6">
        <f t="shared" si="3"/>
        <v>1543.4720553491636</v>
      </c>
      <c r="P6">
        <f t="shared" si="4"/>
        <v>781.76261318520403</v>
      </c>
      <c r="Q6">
        <f>RATES!H7</f>
        <v>0.84848824328325068</v>
      </c>
      <c r="R6" s="43">
        <f t="shared" si="5"/>
        <v>11005.784889382116</v>
      </c>
      <c r="S6">
        <f t="shared" si="6"/>
        <v>9338.2790867451768</v>
      </c>
      <c r="T6">
        <f>C5*EXP(RATES!P7)*(DATA!$B$6-DATA!$B$12)</f>
        <v>176.39680632561863</v>
      </c>
      <c r="U6">
        <f>B5*EXP(RATES!P7)*(DATA!$B$6-DATA!$B$12)</f>
        <v>705.58722530247451</v>
      </c>
      <c r="V6">
        <f t="shared" si="7"/>
        <v>881.98403162809313</v>
      </c>
      <c r="W6">
        <f t="shared" si="8"/>
        <v>446.72149324868786</v>
      </c>
    </row>
    <row r="7" spans="1:23" x14ac:dyDescent="0.3">
      <c r="A7" s="6">
        <v>5</v>
      </c>
      <c r="B7">
        <f>B6*EXP(RATES!P8)*(1-DATA!$B$6)</f>
        <v>86881.561694898381</v>
      </c>
      <c r="C7">
        <f>C6*EXP(RATES!P8)*(1-DATA!$B$6)</f>
        <v>21720.390423724595</v>
      </c>
      <c r="D7">
        <f t="shared" si="1"/>
        <v>108601.95211862298</v>
      </c>
      <c r="E7">
        <f>E6*(1-'LIFE TABLE MALE'!D67/1000)</f>
        <v>0.9609215763955995</v>
      </c>
      <c r="F7">
        <f t="shared" si="2"/>
        <v>0.44370531249999989</v>
      </c>
      <c r="G7">
        <f t="shared" si="0"/>
        <v>108581.95211862298</v>
      </c>
      <c r="H7">
        <f>MAX(D7,DATA!$B$3)</f>
        <v>108601.95211862298</v>
      </c>
      <c r="I7">
        <f>G7*DATA!$B$7*F6*E7</f>
        <v>8169.8212063879082</v>
      </c>
      <c r="J7">
        <f>H7*'LIFE TABLE MALE'!D67/1000*F6*E6</f>
        <v>530.96093156111272</v>
      </c>
      <c r="K7">
        <f>0</f>
        <v>0</v>
      </c>
      <c r="L7" s="43">
        <f>DATA!$B$8*((1+DATA!$B$9)^A6)*F7*E7</f>
        <v>23.075613968043037</v>
      </c>
      <c r="M7">
        <f>B6*EXP(RATES!P8)*(DATA!$B$12)</f>
        <v>1243.7033371457846</v>
      </c>
      <c r="N7">
        <f>C6*EXP(RATES!P8)*(DATA!$B$12)</f>
        <v>310.92583428644616</v>
      </c>
      <c r="O7">
        <f t="shared" si="3"/>
        <v>1554.6291714322308</v>
      </c>
      <c r="P7">
        <f t="shared" si="4"/>
        <v>662.84103427652701</v>
      </c>
      <c r="Q7">
        <f>RATES!H8</f>
        <v>0.82386611720300695</v>
      </c>
      <c r="R7" s="43">
        <f t="shared" si="5"/>
        <v>9386.6987861935904</v>
      </c>
      <c r="S7">
        <f t="shared" si="6"/>
        <v>7733.383082335492</v>
      </c>
      <c r="T7">
        <f>C6*EXP(RATES!P8)*(DATA!$B$6-DATA!$B$12)</f>
        <v>177.67190530654062</v>
      </c>
      <c r="U7">
        <f>B6*EXP(RATES!P8)*(DATA!$B$6-DATA!$B$12)</f>
        <v>710.68762122616249</v>
      </c>
      <c r="V7">
        <f t="shared" si="7"/>
        <v>888.35952653270306</v>
      </c>
      <c r="W7">
        <f t="shared" si="8"/>
        <v>378.76630530087243</v>
      </c>
    </row>
    <row r="8" spans="1:23" x14ac:dyDescent="0.3">
      <c r="A8" s="5">
        <v>6</v>
      </c>
      <c r="B8">
        <f>B7*EXP(RATES!P9)*(1-DATA!$B$6)</f>
        <v>87575.48413935017</v>
      </c>
      <c r="C8">
        <f>C7*EXP(RATES!P9)*(1-DATA!$B$6)</f>
        <v>21893.871034837543</v>
      </c>
      <c r="D8">
        <f t="shared" si="1"/>
        <v>109469.35517418772</v>
      </c>
      <c r="E8">
        <f>E7*(1-'LIFE TABLE MALE'!D68/1000)</f>
        <v>0.95054816852958335</v>
      </c>
      <c r="F8">
        <f t="shared" si="2"/>
        <v>0.37714951562499988</v>
      </c>
      <c r="G8">
        <f t="shared" si="0"/>
        <v>109449.35517418772</v>
      </c>
      <c r="H8">
        <f>MAX(D8,DATA!$B$3)</f>
        <v>109469.35517418772</v>
      </c>
      <c r="I8">
        <f>G8*DATA!$B$7*F7*E8</f>
        <v>6924.2577261712104</v>
      </c>
      <c r="J8">
        <f>H8*'LIFE TABLE MALE'!D68/1000*F7*E7</f>
        <v>503.85856153896856</v>
      </c>
      <c r="K8">
        <f>0</f>
        <v>0</v>
      </c>
      <c r="L8" s="43">
        <f>DATA!$B$8*((1+DATA!$B$9)^A7)*F8*E8</f>
        <v>19.790581122358219</v>
      </c>
      <c r="M8">
        <f>B7*EXP(RATES!P9)*(DATA!$B$12)</f>
        <v>1253.6367872708613</v>
      </c>
      <c r="N8">
        <f>C7*EXP(RATES!P9)*(DATA!$B$12)</f>
        <v>313.40919681771533</v>
      </c>
      <c r="O8">
        <f t="shared" si="3"/>
        <v>1567.0459840885767</v>
      </c>
      <c r="P8">
        <f t="shared" si="4"/>
        <v>561.78407559818436</v>
      </c>
      <c r="Q8">
        <f>RATES!H9</f>
        <v>0.79935660682316689</v>
      </c>
      <c r="R8" s="43">
        <f t="shared" si="5"/>
        <v>8009.6909444307221</v>
      </c>
      <c r="S8">
        <f t="shared" si="6"/>
        <v>6402.5993750423886</v>
      </c>
      <c r="T8">
        <f>C7*EXP(RATES!P9)*(DATA!$B$6-DATA!$B$12)</f>
        <v>179.09096961012301</v>
      </c>
      <c r="U8">
        <f>B7*EXP(RATES!P9)*(DATA!$B$6-DATA!$B$12)</f>
        <v>716.36387844049204</v>
      </c>
      <c r="V8">
        <f t="shared" si="7"/>
        <v>895.45484805061506</v>
      </c>
      <c r="W8">
        <f t="shared" si="8"/>
        <v>321.01947177039096</v>
      </c>
    </row>
    <row r="9" spans="1:23" x14ac:dyDescent="0.3">
      <c r="A9" s="5">
        <v>7</v>
      </c>
      <c r="B9">
        <f>B8*EXP(RATES!P10)*(1-DATA!$B$6)</f>
        <v>88236.731100982026</v>
      </c>
      <c r="C9">
        <f>C8*EXP(RATES!P10)*(1-DATA!$B$6)</f>
        <v>22059.182775245506</v>
      </c>
      <c r="D9">
        <f t="shared" si="1"/>
        <v>110295.91387622754</v>
      </c>
      <c r="E9">
        <f>E8*(1-'LIFE TABLE MALE'!D69/1000)</f>
        <v>0.93939989246654454</v>
      </c>
      <c r="F9">
        <f t="shared" si="2"/>
        <v>0.32057708828124987</v>
      </c>
      <c r="G9">
        <f t="shared" si="0"/>
        <v>110275.91387622754</v>
      </c>
      <c r="H9">
        <f>MAX(D9,DATA!$B$3)</f>
        <v>110295.91387622754</v>
      </c>
      <c r="I9">
        <f>G9*DATA!$B$7*F8*E9</f>
        <v>5860.5177414658374</v>
      </c>
      <c r="J9">
        <f>H9*'LIFE TABLE MALE'!D69/1000*F8*E8</f>
        <v>463.74655058950907</v>
      </c>
      <c r="K9">
        <f>0</f>
        <v>0</v>
      </c>
      <c r="L9" s="43">
        <f>DATA!$B$8*((1+DATA!$B$9)^A8)*F9*E9</f>
        <v>16.957195259897361</v>
      </c>
      <c r="M9">
        <f>B8*EXP(RATES!P10)*(DATA!$B$12)</f>
        <v>1263.1024901981068</v>
      </c>
      <c r="N9">
        <f>C8*EXP(RATES!P10)*(DATA!$B$12)</f>
        <v>315.7756225495267</v>
      </c>
      <c r="O9">
        <f t="shared" si="3"/>
        <v>1578.8781127476336</v>
      </c>
      <c r="P9">
        <f t="shared" si="4"/>
        <v>475.47927353032259</v>
      </c>
      <c r="Q9">
        <f>RATES!H10</f>
        <v>0.77591216342362279</v>
      </c>
      <c r="R9" s="43">
        <f t="shared" si="5"/>
        <v>6816.700760845566</v>
      </c>
      <c r="S9">
        <f t="shared" si="6"/>
        <v>5289.1610347591386</v>
      </c>
      <c r="T9">
        <f>C8*EXP(RATES!P10)*(DATA!$B$6-DATA!$B$12)</f>
        <v>180.44321288544378</v>
      </c>
      <c r="U9">
        <f>B8*EXP(RATES!P10)*(DATA!$B$6-DATA!$B$12)</f>
        <v>721.77285154177514</v>
      </c>
      <c r="V9">
        <f t="shared" si="7"/>
        <v>902.21606442721895</v>
      </c>
      <c r="W9">
        <f t="shared" si="8"/>
        <v>271.70244201732709</v>
      </c>
    </row>
    <row r="10" spans="1:23" x14ac:dyDescent="0.3">
      <c r="A10" s="5">
        <v>8</v>
      </c>
      <c r="B10">
        <f>B9*EXP(RATES!P11)*(1-DATA!$B$6)</f>
        <v>89026.06418186985</v>
      </c>
      <c r="C10">
        <f>C9*EXP(RATES!P11)*(1-DATA!$B$6)</f>
        <v>22256.516045467462</v>
      </c>
      <c r="D10">
        <f t="shared" si="1"/>
        <v>111282.58022733731</v>
      </c>
      <c r="E10">
        <f>E9*(1-'LIFE TABLE MALE'!D70/1000)</f>
        <v>0.9273775090067512</v>
      </c>
      <c r="F10">
        <f t="shared" si="2"/>
        <v>0.2724905250390624</v>
      </c>
      <c r="G10">
        <f t="shared" si="0"/>
        <v>111262.58022733731</v>
      </c>
      <c r="H10">
        <f>MAX(D10,DATA!$B$3)</f>
        <v>111282.58022733731</v>
      </c>
      <c r="I10">
        <f>G10*DATA!$B$7*F9*E10</f>
        <v>4961.6877001863941</v>
      </c>
      <c r="J10">
        <f>H10*'LIFE TABLE MALE'!D70/1000*F9*E9</f>
        <v>428.89426854266475</v>
      </c>
      <c r="K10">
        <f>0</f>
        <v>0</v>
      </c>
      <c r="L10" s="43">
        <f>DATA!$B$8*((1+DATA!$B$9)^A9)*F10*E10</f>
        <v>14.51373440610465</v>
      </c>
      <c r="M10">
        <f>B9*EXP(RATES!P11)*(DATA!$B$12)</f>
        <v>1274.4017367547833</v>
      </c>
      <c r="N10">
        <f>C9*EXP(RATES!P11)*(DATA!$B$12)</f>
        <v>318.60043418869583</v>
      </c>
      <c r="O10">
        <f t="shared" si="3"/>
        <v>1593.0021709434791</v>
      </c>
      <c r="P10">
        <f t="shared" si="4"/>
        <v>402.55417245235395</v>
      </c>
      <c r="Q10">
        <f>RATES!H11</f>
        <v>0.75211396317510737</v>
      </c>
      <c r="R10" s="43">
        <f t="shared" si="5"/>
        <v>5807.6498755875173</v>
      </c>
      <c r="S10">
        <f t="shared" si="6"/>
        <v>4368.0145646615465</v>
      </c>
      <c r="T10">
        <f>C9*EXP(RATES!P11)*(DATA!$B$6-DATA!$B$12)</f>
        <v>182.05739096496899</v>
      </c>
      <c r="U10">
        <f>B9*EXP(RATES!P11)*(DATA!$B$6-DATA!$B$12)</f>
        <v>728.22956385987595</v>
      </c>
      <c r="V10">
        <f t="shared" si="7"/>
        <v>910.286954824845</v>
      </c>
      <c r="W10">
        <f t="shared" si="8"/>
        <v>230.03095568705936</v>
      </c>
    </row>
    <row r="11" spans="1:23" x14ac:dyDescent="0.3">
      <c r="A11" s="5">
        <v>9</v>
      </c>
      <c r="B11">
        <f>B10*EXP(RATES!P12)*(1-DATA!$B$6)</f>
        <v>89622.099886150347</v>
      </c>
      <c r="C11">
        <f>C10*EXP(RATES!P12)*(1-DATA!$B$6)</f>
        <v>22405.524971537587</v>
      </c>
      <c r="D11">
        <f t="shared" si="1"/>
        <v>112027.62485768793</v>
      </c>
      <c r="E11">
        <f>E10*(1-'LIFE TABLE MALE'!D71/1000)</f>
        <v>0.91441741759215689</v>
      </c>
      <c r="F11">
        <f t="shared" si="2"/>
        <v>0.23161694628320303</v>
      </c>
      <c r="G11">
        <f t="shared" si="0"/>
        <v>112007.62485768793</v>
      </c>
      <c r="H11">
        <f>MAX(D11,DATA!$B$3)</f>
        <v>112027.62485768793</v>
      </c>
      <c r="I11">
        <f>G11*DATA!$B$7*F10*E11</f>
        <v>4186.3423643350043</v>
      </c>
      <c r="J11">
        <f>H11*'LIFE TABLE MALE'!D71/1000*F10*E10</f>
        <v>395.62579402443498</v>
      </c>
      <c r="K11">
        <f>0</f>
        <v>0</v>
      </c>
      <c r="L11" s="43">
        <f>DATA!$B$8*((1+DATA!$B$9)^A10)*F11*E11</f>
        <v>12.407554732898763</v>
      </c>
      <c r="M11">
        <f>B10*EXP(RATES!P12)*(DATA!$B$12)</f>
        <v>1282.9339452005163</v>
      </c>
      <c r="N11">
        <f>C10*EXP(RATES!P12)*(DATA!$B$12)</f>
        <v>320.73348630012907</v>
      </c>
      <c r="O11">
        <f t="shared" si="3"/>
        <v>1603.6674315006453</v>
      </c>
      <c r="P11">
        <f t="shared" si="4"/>
        <v>339.6480539026719</v>
      </c>
      <c r="Q11">
        <f>RATES!H12</f>
        <v>0.73067553237231886</v>
      </c>
      <c r="R11" s="43">
        <f t="shared" si="5"/>
        <v>4934.0237669950102</v>
      </c>
      <c r="S11">
        <f t="shared" si="6"/>
        <v>3605.1704426867532</v>
      </c>
      <c r="T11">
        <f>C10*EXP(RATES!P12)*(DATA!$B$6-DATA!$B$12)</f>
        <v>183.27627788578801</v>
      </c>
      <c r="U11">
        <f>B10*EXP(RATES!P12)*(DATA!$B$6-DATA!$B$12)</f>
        <v>733.10511154315202</v>
      </c>
      <c r="V11">
        <f t="shared" si="7"/>
        <v>916.38138942894</v>
      </c>
      <c r="W11">
        <f t="shared" si="8"/>
        <v>194.08460223009823</v>
      </c>
    </row>
    <row r="12" spans="1:23" x14ac:dyDescent="0.3">
      <c r="A12" s="6">
        <v>10</v>
      </c>
      <c r="B12">
        <f>B11*EXP(RATES!P13)*(1-DATA!$B$6)</f>
        <v>90401.523307825599</v>
      </c>
      <c r="C12">
        <f>C11*EXP(RATES!P13)*(1-DATA!$B$6)</f>
        <v>22600.3808269564</v>
      </c>
      <c r="D12">
        <f t="shared" si="1"/>
        <v>113001.904134782</v>
      </c>
      <c r="E12">
        <f>E11*(1-'LIFE TABLE MALE'!D72/1000)</f>
        <v>0.90009759511179277</v>
      </c>
      <c r="F12">
        <f t="shared" si="2"/>
        <v>0.19687440434072256</v>
      </c>
      <c r="G12">
        <f t="shared" si="0"/>
        <v>112981.904134782</v>
      </c>
      <c r="H12">
        <f>MAX(D12,DATA!$B$3)</f>
        <v>113001.904134782</v>
      </c>
      <c r="I12">
        <f>G12*DATA!$B$7*F11*E12</f>
        <v>3533.1337768278081</v>
      </c>
      <c r="J12">
        <f>H12*'LIFE TABLE MALE'!D72/1000*F11*E11</f>
        <v>374.79494709644234</v>
      </c>
      <c r="K12">
        <f>0</f>
        <v>0</v>
      </c>
      <c r="L12" s="43">
        <f>DATA!$B$8*((1+DATA!$B$9)^A11)*F12*E12</f>
        <v>10.588889315285121</v>
      </c>
      <c r="M12">
        <f>B11*EXP(RATES!P13)*(DATA!$B$12)</f>
        <v>1294.0913356948452</v>
      </c>
      <c r="N12">
        <f>C11*EXP(RATES!P13)*(DATA!$B$12)</f>
        <v>323.52283392371129</v>
      </c>
      <c r="O12">
        <f t="shared" si="3"/>
        <v>1617.6141696185564</v>
      </c>
      <c r="P12">
        <f t="shared" si="4"/>
        <v>286.65122429258446</v>
      </c>
      <c r="Q12">
        <f>RATES!H13</f>
        <v>0.7084395300125218</v>
      </c>
      <c r="R12" s="43">
        <f t="shared" si="5"/>
        <v>4205.1688375321201</v>
      </c>
      <c r="S12">
        <f t="shared" si="6"/>
        <v>2979.1078348845576</v>
      </c>
      <c r="T12">
        <f>C11*EXP(RATES!P13)*(DATA!$B$6-DATA!$B$12)</f>
        <v>184.87019081354927</v>
      </c>
      <c r="U12">
        <f>B11*EXP(RATES!P13)*(DATA!$B$6-DATA!$B$12)</f>
        <v>739.48076325419709</v>
      </c>
      <c r="V12">
        <f t="shared" si="7"/>
        <v>924.35095406774633</v>
      </c>
      <c r="W12">
        <f t="shared" si="8"/>
        <v>163.8006995957625</v>
      </c>
    </row>
    <row r="13" spans="1:23" x14ac:dyDescent="0.3">
      <c r="A13" s="5">
        <v>11</v>
      </c>
      <c r="B13">
        <f>B12*EXP(RATES!P14)*(1-DATA!$B$6)</f>
        <v>91319.002717374227</v>
      </c>
      <c r="C13">
        <f>C12*EXP(RATES!P14)*(1-DATA!$B$6)</f>
        <v>22829.750679343557</v>
      </c>
      <c r="D13">
        <f t="shared" si="1"/>
        <v>114148.75339671779</v>
      </c>
      <c r="E13">
        <f>E12*(1-'LIFE TABLE MALE'!D73/1000)</f>
        <v>0.88436966777579928</v>
      </c>
      <c r="F13">
        <f t="shared" si="2"/>
        <v>0.16734324368961417</v>
      </c>
      <c r="G13">
        <f t="shared" si="0"/>
        <v>114128.75339671779</v>
      </c>
      <c r="H13">
        <f>MAX(D13,DATA!$B$3)</f>
        <v>114148.75339671779</v>
      </c>
      <c r="I13">
        <f>G13*DATA!$B$7*F12*E13</f>
        <v>2980.6393349694736</v>
      </c>
      <c r="J13">
        <f>H13*'LIFE TABLE MALE'!D73/1000*F12*E12</f>
        <v>353.4532050734669</v>
      </c>
      <c r="K13">
        <f>0</f>
        <v>0</v>
      </c>
      <c r="L13" s="43">
        <f>DATA!$B$8*((1+DATA!$B$9)^A12)*F13*E13</f>
        <v>9.0201496637971381</v>
      </c>
      <c r="M13">
        <f>B12*EXP(RATES!P14)*(DATA!$B$12)</f>
        <v>1307.2249877742731</v>
      </c>
      <c r="N13">
        <f>C12*EXP(RATES!P14)*(DATA!$B$12)</f>
        <v>326.80624694356828</v>
      </c>
      <c r="O13">
        <f t="shared" si="3"/>
        <v>1634.0312347178415</v>
      </c>
      <c r="P13">
        <f t="shared" si="4"/>
        <v>241.82565647080733</v>
      </c>
      <c r="Q13">
        <f>RATES!H14</f>
        <v>0.68589277742554322</v>
      </c>
      <c r="R13" s="43">
        <f t="shared" si="5"/>
        <v>3584.9383461775451</v>
      </c>
      <c r="S13">
        <f t="shared" si="6"/>
        <v>2458.8833191590497</v>
      </c>
      <c r="T13">
        <f>C12*EXP(RATES!P14)*(DATA!$B$6-DATA!$B$12)</f>
        <v>186.74642682489613</v>
      </c>
      <c r="U13">
        <f>B12*EXP(RATES!P14)*(DATA!$B$6-DATA!$B$12)</f>
        <v>746.98570729958453</v>
      </c>
      <c r="V13">
        <f t="shared" si="7"/>
        <v>933.73213412448069</v>
      </c>
      <c r="W13">
        <f t="shared" si="8"/>
        <v>138.1860894118899</v>
      </c>
    </row>
    <row r="14" spans="1:23" x14ac:dyDescent="0.3">
      <c r="A14" s="5">
        <v>12</v>
      </c>
      <c r="B14">
        <f>B13*EXP(RATES!P15)*(1-DATA!$B$6)</f>
        <v>92424.223822602216</v>
      </c>
      <c r="C14">
        <f>C13*EXP(RATES!P15)*(1-DATA!$B$6)</f>
        <v>23106.055955650554</v>
      </c>
      <c r="D14">
        <f t="shared" si="1"/>
        <v>115530.27977825276</v>
      </c>
      <c r="E14">
        <f>E13*(1-'LIFE TABLE MALE'!D74/1000)</f>
        <v>0.86691443914546784</v>
      </c>
      <c r="F14">
        <f t="shared" si="2"/>
        <v>0.14224175713617204</v>
      </c>
      <c r="G14">
        <f t="shared" si="0"/>
        <v>115510.27977825276</v>
      </c>
      <c r="H14">
        <f>MAX(D14,DATA!$B$3)</f>
        <v>115530.27977825276</v>
      </c>
      <c r="I14">
        <f>G14*DATA!$B$7*F13*E14</f>
        <v>2513.6008479674815</v>
      </c>
      <c r="J14">
        <f>H14*'LIFE TABLE MALE'!D74/1000*F13*E13</f>
        <v>337.46563147237862</v>
      </c>
      <c r="K14">
        <f>0</f>
        <v>0</v>
      </c>
      <c r="L14" s="43">
        <f>DATA!$B$8*((1+DATA!$B$9)^A13)*F14*E14</f>
        <v>7.6661133930628793</v>
      </c>
      <c r="M14">
        <f>B13*EXP(RATES!P15)*(DATA!$B$12)</f>
        <v>1323.0461487898069</v>
      </c>
      <c r="N14">
        <f>C13*EXP(RATES!P15)*(DATA!$B$12)</f>
        <v>330.76153719745173</v>
      </c>
      <c r="O14">
        <f t="shared" si="3"/>
        <v>1653.8076859872585</v>
      </c>
      <c r="P14">
        <f t="shared" si="4"/>
        <v>203.93339584869588</v>
      </c>
      <c r="Q14">
        <f>RATES!H15</f>
        <v>0.66278158360522899</v>
      </c>
      <c r="R14" s="44">
        <f t="shared" si="5"/>
        <v>3062.6659886816187</v>
      </c>
      <c r="S14">
        <f t="shared" si="6"/>
        <v>2029.8786140322775</v>
      </c>
      <c r="T14">
        <f>C13*EXP(RATES!P15)*(DATA!$B$6-DATA!$B$12)</f>
        <v>189.0065926842581</v>
      </c>
      <c r="U14">
        <f>B13*EXP(RATES!P15)*(DATA!$B$6-DATA!$B$12)</f>
        <v>756.02637073703238</v>
      </c>
      <c r="V14">
        <f t="shared" si="7"/>
        <v>945.03296342129045</v>
      </c>
      <c r="W14">
        <f t="shared" si="8"/>
        <v>116.53336905639762</v>
      </c>
    </row>
    <row r="15" spans="1:23" x14ac:dyDescent="0.3">
      <c r="A15" s="5">
        <v>13</v>
      </c>
      <c r="B15">
        <f>B14*EXP(RATES!P16)*(1-DATA!$B$6)</f>
        <v>93601.592378544912</v>
      </c>
      <c r="C15">
        <f>C14*EXP(RATES!P16)*(1-DATA!$B$6)</f>
        <v>23400.398094636228</v>
      </c>
      <c r="D15">
        <f t="shared" si="1"/>
        <v>117001.99047318114</v>
      </c>
      <c r="E15">
        <f>E14*(1-'LIFE TABLE MALE'!D75/1000)</f>
        <v>0.84808352308867097</v>
      </c>
      <c r="F15">
        <f t="shared" si="2"/>
        <v>0.12090549356574623</v>
      </c>
      <c r="G15">
        <f t="shared" si="0"/>
        <v>116981.99047318114</v>
      </c>
      <c r="H15">
        <f>MAX(D15,DATA!$B$3)</f>
        <v>117001.99047318114</v>
      </c>
      <c r="I15">
        <f>G15*DATA!$B$7*F14*E15</f>
        <v>2116.7813474759914</v>
      </c>
      <c r="J15">
        <f>H15*'LIFE TABLE MALE'!D75/1000*F14*E14</f>
        <v>313.39481441028391</v>
      </c>
      <c r="K15">
        <f>0</f>
        <v>0</v>
      </c>
      <c r="L15" s="43">
        <f>DATA!$B$8*((1+DATA!$B$9)^A14)*F15*E15</f>
        <v>6.5021461262725833</v>
      </c>
      <c r="M15">
        <f>B14*EXP(RATES!P16)*(DATA!$B$12)</f>
        <v>1339.9000953983934</v>
      </c>
      <c r="N15">
        <f>C14*EXP(RATES!P16)*(DATA!$B$12)</f>
        <v>334.97502384959836</v>
      </c>
      <c r="O15">
        <f t="shared" si="3"/>
        <v>1674.8751192479917</v>
      </c>
      <c r="P15">
        <f t="shared" si="4"/>
        <v>171.73827286404872</v>
      </c>
      <c r="Q15">
        <f>RATES!H16</f>
        <v>0.64004699376173069</v>
      </c>
      <c r="R15" s="44">
        <f t="shared" si="5"/>
        <v>2608.4165808765965</v>
      </c>
      <c r="S15">
        <f t="shared" si="6"/>
        <v>1669.5091910683179</v>
      </c>
      <c r="T15">
        <f>C14*EXP(RATES!P16)*(DATA!$B$6-DATA!$B$12)</f>
        <v>191.4142993426276</v>
      </c>
      <c r="U15">
        <f>B14*EXP(RATES!P16)*(DATA!$B$6-DATA!$B$12)</f>
        <v>765.6571973705104</v>
      </c>
      <c r="V15">
        <f t="shared" si="7"/>
        <v>957.071496713138</v>
      </c>
      <c r="W15">
        <f t="shared" si="8"/>
        <v>98.136155922313534</v>
      </c>
    </row>
    <row r="16" spans="1:23" x14ac:dyDescent="0.3">
      <c r="A16" s="5">
        <v>14</v>
      </c>
      <c r="B16">
        <f>B15*EXP(RATES!P17)*(1-DATA!$B$6)</f>
        <v>94828.767427061175</v>
      </c>
      <c r="C16">
        <f>C15*EXP(RATES!P17)*(1-DATA!$B$6)</f>
        <v>23707.191856765294</v>
      </c>
      <c r="D16">
        <f t="shared" si="1"/>
        <v>118535.95928382647</v>
      </c>
      <c r="E16">
        <f>E15*(1-'LIFE TABLE MALE'!D76/1000)</f>
        <v>0.82779649169036118</v>
      </c>
      <c r="F16">
        <f t="shared" si="2"/>
        <v>0.10276966953088429</v>
      </c>
      <c r="G16">
        <f t="shared" si="0"/>
        <v>118515.95928382647</v>
      </c>
      <c r="H16">
        <f>MAX(D16,DATA!$B$3)</f>
        <v>118535.95928382647</v>
      </c>
      <c r="I16">
        <f>G16*DATA!$B$7*F15*E16</f>
        <v>1779.2530170132834</v>
      </c>
      <c r="J16">
        <f>H16*'LIFE TABLE MALE'!D76/1000*F15*E15</f>
        <v>290.74660640568686</v>
      </c>
      <c r="K16">
        <f>0</f>
        <v>0</v>
      </c>
      <c r="L16" s="43">
        <f>DATA!$B$8*((1+DATA!$B$9)^A15)*F16*E16</f>
        <v>5.5025092172566552</v>
      </c>
      <c r="M16">
        <f>B15*EXP(RATES!P17)*(DATA!$B$12)</f>
        <v>1357.4670183832889</v>
      </c>
      <c r="N16">
        <f>C15*EXP(RATES!P17)*(DATA!$B$12)</f>
        <v>339.36675459582221</v>
      </c>
      <c r="O16">
        <f t="shared" si="3"/>
        <v>1696.833772979111</v>
      </c>
      <c r="P16">
        <f t="shared" si="4"/>
        <v>144.35367377012577</v>
      </c>
      <c r="Q16">
        <f>RATES!H17</f>
        <v>0.61786536101900291</v>
      </c>
      <c r="R16" s="44">
        <f t="shared" si="5"/>
        <v>2219.8558064063527</v>
      </c>
      <c r="S16">
        <f t="shared" si="6"/>
        <v>1371.5720092353909</v>
      </c>
      <c r="T16">
        <f>C15*EXP(RATES!P17)*(DATA!$B$6-DATA!$B$12)</f>
        <v>193.92385976904123</v>
      </c>
      <c r="U16">
        <f>B15*EXP(RATES!P17)*(DATA!$B$6-DATA!$B$12)</f>
        <v>775.69543907616492</v>
      </c>
      <c r="V16">
        <f t="shared" si="7"/>
        <v>969.61929884520612</v>
      </c>
      <c r="W16">
        <f t="shared" si="8"/>
        <v>82.487813582928993</v>
      </c>
    </row>
    <row r="17" spans="1:23" x14ac:dyDescent="0.3">
      <c r="A17" s="6">
        <v>15</v>
      </c>
      <c r="B17">
        <f>B16*EXP(RATES!P18)*(1-DATA!$B$6)</f>
        <v>95973.685388002894</v>
      </c>
      <c r="C17">
        <f>C16*EXP(RATES!P18)*(1-DATA!$B$6)</f>
        <v>23993.421347000723</v>
      </c>
      <c r="D17">
        <f t="shared" si="1"/>
        <v>119967.10673500362</v>
      </c>
      <c r="E17">
        <f>E16*(1-'LIFE TABLE MALE'!D77/1000)</f>
        <v>0.80629125769035137</v>
      </c>
      <c r="F17">
        <f t="shared" si="2"/>
        <v>8.7354219101251643E-2</v>
      </c>
      <c r="G17">
        <f t="shared" si="0"/>
        <v>119947.10673500362</v>
      </c>
      <c r="H17">
        <f>MAX(D17,DATA!$B$3)</f>
        <v>119967.10673500362</v>
      </c>
      <c r="I17">
        <f>G17*DATA!$B$7*F16*E17</f>
        <v>1490.8637212440906</v>
      </c>
      <c r="J17">
        <f>H17*'LIFE TABLE MALE'!D77/1000*F16*E16</f>
        <v>265.13759802624128</v>
      </c>
      <c r="K17">
        <f>0</f>
        <v>0</v>
      </c>
      <c r="L17" s="43">
        <f>DATA!$B$8*((1+DATA!$B$9)^A16)*F17*E17</f>
        <v>4.6467386375457433</v>
      </c>
      <c r="M17">
        <f>B16*EXP(RATES!P18)*(DATA!$B$12)</f>
        <v>1373.8564370470763</v>
      </c>
      <c r="N17">
        <f>C16*EXP(RATES!P18)*(DATA!$B$12)</f>
        <v>343.46410926176907</v>
      </c>
      <c r="O17">
        <f t="shared" si="3"/>
        <v>1717.3205463088452</v>
      </c>
      <c r="P17">
        <f t="shared" si="4"/>
        <v>120.95594046638305</v>
      </c>
      <c r="Q17">
        <f>RATES!H18</f>
        <v>0.59706365714702947</v>
      </c>
      <c r="R17" s="44">
        <f t="shared" si="5"/>
        <v>1881.6039983742608</v>
      </c>
      <c r="S17">
        <f t="shared" si="6"/>
        <v>1123.4373645718094</v>
      </c>
      <c r="T17">
        <f>C16*EXP(RATES!P18)*(DATA!$B$6-DATA!$B$12)</f>
        <v>196.26520529243942</v>
      </c>
      <c r="U17">
        <f>B16*EXP(RATES!P18)*(DATA!$B$6-DATA!$B$12)</f>
        <v>785.06082116975767</v>
      </c>
      <c r="V17">
        <f t="shared" si="7"/>
        <v>981.32602646219709</v>
      </c>
      <c r="W17">
        <f t="shared" si="8"/>
        <v>69.117680266504593</v>
      </c>
    </row>
    <row r="18" spans="1:23" x14ac:dyDescent="0.3">
      <c r="A18" s="5">
        <v>16</v>
      </c>
      <c r="B18">
        <f>B17*EXP(RATES!P19)*(1-DATA!$B$6)</f>
        <v>96965.507394977118</v>
      </c>
      <c r="C18">
        <f>C17*EXP(RATES!P19)*(1-DATA!$B$6)</f>
        <v>24241.376848744279</v>
      </c>
      <c r="D18">
        <f t="shared" si="1"/>
        <v>121206.8842437214</v>
      </c>
      <c r="E18">
        <f>E17*(1-'LIFE TABLE MALE'!D78/1000)</f>
        <v>0.78272955654492149</v>
      </c>
      <c r="F18">
        <f t="shared" si="2"/>
        <v>7.4251086236063898E-2</v>
      </c>
      <c r="G18">
        <f t="shared" si="0"/>
        <v>121186.8842437214</v>
      </c>
      <c r="H18">
        <f>MAX(D18,DATA!$B$3)</f>
        <v>121206.8842437214</v>
      </c>
      <c r="I18">
        <f>G18*DATA!$B$7*F17*E18</f>
        <v>1242.9180585398822</v>
      </c>
      <c r="J18">
        <f>H18*'LIFE TABLE MALE'!D78/1000*F17*E17</f>
        <v>249.46970656267496</v>
      </c>
      <c r="K18">
        <f>0</f>
        <v>0</v>
      </c>
      <c r="L18" s="43">
        <f>DATA!$B$8*((1+DATA!$B$9)^A17)*F18*E18</f>
        <v>3.9109937836246558</v>
      </c>
      <c r="M18">
        <f>B17*EXP(RATES!P19)*(DATA!$B$12)</f>
        <v>1388.0542980876069</v>
      </c>
      <c r="N18">
        <f>C17*EXP(RATES!P19)*(DATA!$B$12)</f>
        <v>347.01357452190172</v>
      </c>
      <c r="O18">
        <f t="shared" si="3"/>
        <v>1735.0678726095086</v>
      </c>
      <c r="P18">
        <f t="shared" si="4"/>
        <v>100.83957651299457</v>
      </c>
      <c r="Q18">
        <f>RATES!H19</f>
        <v>0.57795548440160449</v>
      </c>
      <c r="R18" s="44">
        <f t="shared" si="5"/>
        <v>1597.1383353991764</v>
      </c>
      <c r="S18">
        <f t="shared" si="6"/>
        <v>923.07486029200322</v>
      </c>
      <c r="T18">
        <f>C17*EXP(RATES!P19)*(DATA!$B$6-DATA!$B$12)</f>
        <v>198.29347115537237</v>
      </c>
      <c r="U18">
        <f>B17*EXP(RATES!P19)*(DATA!$B$6-DATA!$B$12)</f>
        <v>793.17388462148949</v>
      </c>
      <c r="V18">
        <f t="shared" si="7"/>
        <v>991.46735577686184</v>
      </c>
      <c r="W18">
        <f t="shared" si="8"/>
        <v>57.622615150282599</v>
      </c>
    </row>
    <row r="19" spans="1:23" x14ac:dyDescent="0.3">
      <c r="A19" s="5">
        <v>17</v>
      </c>
      <c r="B19">
        <f>B18*EXP(RATES!P20)*(1-DATA!$B$6)</f>
        <v>97816.187356051509</v>
      </c>
      <c r="C19">
        <f>C18*EXP(RATES!P20)*(1-DATA!$B$6)</f>
        <v>24454.046839012877</v>
      </c>
      <c r="D19">
        <f t="shared" si="1"/>
        <v>122270.23419506439</v>
      </c>
      <c r="E19">
        <f>E18*(1-'LIFE TABLE MALE'!D79/1000)</f>
        <v>0.75700168217713715</v>
      </c>
      <c r="F19">
        <f t="shared" si="2"/>
        <v>6.3113423300654309E-2</v>
      </c>
      <c r="G19">
        <f t="shared" si="0"/>
        <v>122250.23419506439</v>
      </c>
      <c r="H19">
        <f>MAX(D19,DATA!$B$3)</f>
        <v>122270.23419506439</v>
      </c>
      <c r="I19">
        <f>G19*DATA!$B$7*F18*E19</f>
        <v>1030.7197904172554</v>
      </c>
      <c r="J19">
        <f>H19*'LIFE TABLE MALE'!D79/1000*F18*E18</f>
        <v>233.57559393414658</v>
      </c>
      <c r="K19">
        <f>0</f>
        <v>0</v>
      </c>
      <c r="L19" s="43">
        <f>DATA!$B$8*((1+DATA!$B$9)^A18)*F19*E19</f>
        <v>3.2793769081426625</v>
      </c>
      <c r="M19">
        <f>B18*EXP(RATES!P20)*(DATA!$B$12)</f>
        <v>1400.2317208432733</v>
      </c>
      <c r="N19">
        <f>C18*EXP(RATES!P20)*(DATA!$B$12)</f>
        <v>350.05793021081831</v>
      </c>
      <c r="O19">
        <f t="shared" si="3"/>
        <v>1750.2896510540916</v>
      </c>
      <c r="P19">
        <f t="shared" si="4"/>
        <v>83.623531960496351</v>
      </c>
      <c r="Q19">
        <f>RATES!H20</f>
        <v>0.56032472588283622</v>
      </c>
      <c r="R19" s="44">
        <f t="shared" si="5"/>
        <v>1351.198293220041</v>
      </c>
      <c r="S19">
        <f t="shared" si="6"/>
        <v>757.10981326187562</v>
      </c>
      <c r="T19">
        <f>C18*EXP(RATES!P20)*(DATA!$B$6-DATA!$B$12)</f>
        <v>200.03310297761041</v>
      </c>
      <c r="U19">
        <f>B18*EXP(RATES!P20)*(DATA!$B$6-DATA!$B$12)</f>
        <v>800.13241191044165</v>
      </c>
      <c r="V19">
        <f t="shared" si="7"/>
        <v>1000.165514888052</v>
      </c>
      <c r="W19">
        <f t="shared" si="8"/>
        <v>47.784875405997902</v>
      </c>
    </row>
    <row r="20" spans="1:23" x14ac:dyDescent="0.3">
      <c r="A20" s="5">
        <v>18</v>
      </c>
      <c r="B20">
        <f>B19*EXP(RATES!P21)*(1-DATA!$B$6)</f>
        <v>98636.127526061508</v>
      </c>
      <c r="C20">
        <f>C19*EXP(RATES!P21)*(1-DATA!$B$6)</f>
        <v>24659.031881515377</v>
      </c>
      <c r="D20">
        <f t="shared" si="1"/>
        <v>123295.15940757688</v>
      </c>
      <c r="E20">
        <f>E19*(1-'LIFE TABLE MALE'!D80/1000)</f>
        <v>0.72857800254523786</v>
      </c>
      <c r="F20">
        <f t="shared" si="2"/>
        <v>5.3646409805556163E-2</v>
      </c>
      <c r="G20">
        <f t="shared" si="0"/>
        <v>123275.15940757688</v>
      </c>
      <c r="H20">
        <f>MAX(D20,DATA!$B$3)</f>
        <v>123295.15940757688</v>
      </c>
      <c r="I20">
        <f>G20*DATA!$B$7*F19*E20</f>
        <v>850.28520762344419</v>
      </c>
      <c r="J20">
        <f>H20*'LIFE TABLE MALE'!D80/1000*F19*E19</f>
        <v>221.1811251999884</v>
      </c>
      <c r="K20">
        <f>0</f>
        <v>0</v>
      </c>
      <c r="L20" s="43">
        <f>DATA!$B$8*((1+DATA!$B$9)^A19)*F20*E20</f>
        <v>2.7364633876180271</v>
      </c>
      <c r="M20">
        <f>B19*EXP(RATES!P21)*(DATA!$B$12)</f>
        <v>1411.9691056900422</v>
      </c>
      <c r="N20">
        <f>C19*EXP(RATES!P21)*(DATA!$B$12)</f>
        <v>352.99227642251054</v>
      </c>
      <c r="O20">
        <f t="shared" si="3"/>
        <v>1764.9613821125527</v>
      </c>
      <c r="P20">
        <f t="shared" si="4"/>
        <v>68.98456418317096</v>
      </c>
      <c r="Q20">
        <f>RATES!H21</f>
        <v>0.54344220000874166</v>
      </c>
      <c r="R20" s="44">
        <f t="shared" si="5"/>
        <v>1143.1873603942215</v>
      </c>
      <c r="S20">
        <f t="shared" si="6"/>
        <v>621.25625415482193</v>
      </c>
      <c r="T20">
        <f>C19*EXP(RATES!P21)*(DATA!$B$6-DATA!$B$12)</f>
        <v>201.70987224143454</v>
      </c>
      <c r="U20">
        <f>B19*EXP(RATES!P21)*(DATA!$B$6-DATA!$B$12)</f>
        <v>806.83948896573816</v>
      </c>
      <c r="V20">
        <f t="shared" si="7"/>
        <v>1008.5493612071728</v>
      </c>
      <c r="W20">
        <f t="shared" si="8"/>
        <v>39.419750961811971</v>
      </c>
    </row>
    <row r="21" spans="1:23" x14ac:dyDescent="0.3">
      <c r="A21" s="5">
        <v>19</v>
      </c>
      <c r="B21">
        <f>B20*EXP(RATES!P22)*(1-DATA!$B$6)</f>
        <v>99442.687974122411</v>
      </c>
      <c r="C21">
        <f>C20*EXP(RATES!P22)*(1-DATA!$B$6)</f>
        <v>24860.671993530603</v>
      </c>
      <c r="D21">
        <f t="shared" si="1"/>
        <v>124303.35996765301</v>
      </c>
      <c r="E21">
        <f>E20*(1-'LIFE TABLE MALE'!D81/1000)</f>
        <v>0.69834190615291014</v>
      </c>
      <c r="F21">
        <f t="shared" si="2"/>
        <v>4.5599448334722736E-2</v>
      </c>
      <c r="G21">
        <f t="shared" si="0"/>
        <v>124283.35996765301</v>
      </c>
      <c r="H21">
        <f>MAX(D21,DATA!$B$3)</f>
        <v>124303.35996765301</v>
      </c>
      <c r="I21">
        <f>G21*DATA!$B$7*F20*E21</f>
        <v>698.41412107867313</v>
      </c>
      <c r="J21">
        <f>H21*'LIFE TABLE MALE'!D81/1000*F20*E20</f>
        <v>201.62726169777264</v>
      </c>
      <c r="K21">
        <f>0</f>
        <v>0</v>
      </c>
      <c r="L21" s="43">
        <f>DATA!$B$8*((1+DATA!$B$9)^A20)*F21*E21</f>
        <v>2.274054080269575</v>
      </c>
      <c r="M21">
        <f>B20*EXP(RATES!P22)*(DATA!$B$12)</f>
        <v>1423.5149607747585</v>
      </c>
      <c r="N21">
        <f>C20*EXP(RATES!P22)*(DATA!$B$12)</f>
        <v>355.87874019368962</v>
      </c>
      <c r="O21">
        <f t="shared" si="3"/>
        <v>1779.3937009684482</v>
      </c>
      <c r="P21">
        <f t="shared" si="4"/>
        <v>56.663023102074526</v>
      </c>
      <c r="Q21">
        <f>RATES!H22</f>
        <v>0.52717568742308507</v>
      </c>
      <c r="R21" s="44">
        <f t="shared" si="5"/>
        <v>958.97845995878993</v>
      </c>
      <c r="S21">
        <f t="shared" si="6"/>
        <v>505.55012885270656</v>
      </c>
      <c r="T21">
        <f>C20*EXP(RATES!P22)*(DATA!$B$6-DATA!$B$12)</f>
        <v>203.35928011067972</v>
      </c>
      <c r="U21">
        <f>B20*EXP(RATES!P22)*(DATA!$B$6-DATA!$B$12)</f>
        <v>813.43712044271888</v>
      </c>
      <c r="V21">
        <f t="shared" si="7"/>
        <v>1016.7964005533986</v>
      </c>
      <c r="W21">
        <f t="shared" si="8"/>
        <v>32.378870344042575</v>
      </c>
    </row>
    <row r="22" spans="1:23" x14ac:dyDescent="0.3">
      <c r="A22" s="6">
        <v>20</v>
      </c>
      <c r="B22">
        <f>B21*EXP(RATES!P23)*(1-DATA!$B$6)</f>
        <v>100354.72115197116</v>
      </c>
      <c r="C22">
        <f>C21*EXP(RATES!P23)*(1-DATA!$B$6)</f>
        <v>25088.680287992789</v>
      </c>
      <c r="D22">
        <f t="shared" si="1"/>
        <v>125443.40143996394</v>
      </c>
      <c r="E22">
        <f>E21*(1-'LIFE TABLE MALE'!D82/1000)</f>
        <v>0.66548978691150162</v>
      </c>
      <c r="F22">
        <f t="shared" si="2"/>
        <v>3.8759531084514326E-2</v>
      </c>
      <c r="G22">
        <f t="shared" si="0"/>
        <v>125423.40143996394</v>
      </c>
      <c r="H22">
        <f>MAX(D22,DATA!$B$3)</f>
        <v>125443.40143996394</v>
      </c>
      <c r="I22">
        <f>G22*DATA!$B$7*F21*E22</f>
        <v>570.91416309530155</v>
      </c>
      <c r="J22">
        <f>H22*'LIFE TABLE MALE'!D82/1000*F21*E21</f>
        <v>187.91904668858939</v>
      </c>
      <c r="K22">
        <f>0</f>
        <v>0</v>
      </c>
      <c r="L22" s="43">
        <f>DATA!$B$8*((1+DATA!$B$9)^A21)*F22*E22</f>
        <v>1.8788546197185032</v>
      </c>
      <c r="M22">
        <f>B21*EXP(RATES!P23)*(DATA!$B$12)</f>
        <v>1436.5706504372151</v>
      </c>
      <c r="N22">
        <f>C21*EXP(RATES!P23)*(DATA!$B$12)</f>
        <v>359.14266260930378</v>
      </c>
      <c r="O22">
        <f t="shared" si="3"/>
        <v>1795.713313046519</v>
      </c>
      <c r="P22">
        <f t="shared" si="4"/>
        <v>46.318758635729679</v>
      </c>
      <c r="Q22">
        <f>RATES!H23</f>
        <v>0.51089220238770217</v>
      </c>
      <c r="R22" s="44">
        <f t="shared" si="5"/>
        <v>807.03082303933911</v>
      </c>
      <c r="S22">
        <f t="shared" si="6"/>
        <v>412.30575457732789</v>
      </c>
      <c r="T22">
        <f>C21*EXP(RATES!P23)*(DATA!$B$6-DATA!$B$12)</f>
        <v>205.22437863388782</v>
      </c>
      <c r="U22">
        <f>B21*EXP(RATES!P23)*(DATA!$B$6-DATA!$B$12)</f>
        <v>820.8975145355513</v>
      </c>
      <c r="V22">
        <f t="shared" si="7"/>
        <v>1026.1218931694391</v>
      </c>
      <c r="W22">
        <f t="shared" si="8"/>
        <v>26.467862077559808</v>
      </c>
    </row>
    <row r="23" spans="1:23" x14ac:dyDescent="0.3">
      <c r="A23" s="5">
        <v>21</v>
      </c>
      <c r="B23">
        <f>B22*EXP(RATES!P24)*(1-DATA!$B$6)</f>
        <v>101375.04111867421</v>
      </c>
      <c r="C23">
        <f>C22*EXP(RATES!P24)*(1-DATA!$B$6)</f>
        <v>25343.760279668553</v>
      </c>
      <c r="D23">
        <f t="shared" si="1"/>
        <v>126718.80139834277</v>
      </c>
      <c r="E23">
        <f>E22*(1-'LIFE TABLE MALE'!D83/1000)</f>
        <v>0.63037147159761586</v>
      </c>
      <c r="F23">
        <f t="shared" si="2"/>
        <v>3.2945601421837174E-2</v>
      </c>
      <c r="G23">
        <f t="shared" si="0"/>
        <v>126698.80139834277</v>
      </c>
      <c r="H23">
        <f>MAX(D23,DATA!$B$3)</f>
        <v>126718.80139834277</v>
      </c>
      <c r="I23">
        <f>G23*DATA!$B$7*F22*E23</f>
        <v>464.34292203099795</v>
      </c>
      <c r="J23">
        <f>H23*'LIFE TABLE MALE'!D83/1000*F22*E22</f>
        <v>172.48575918215781</v>
      </c>
      <c r="K23">
        <f>0</f>
        <v>0</v>
      </c>
      <c r="L23" s="43">
        <f>DATA!$B$8*((1+DATA!$B$9)^A22)*F23*E23</f>
        <v>1.5430053428157937</v>
      </c>
      <c r="M23">
        <f>B22*EXP(RATES!P24)*(DATA!$B$12)</f>
        <v>1451.1764577315328</v>
      </c>
      <c r="N23">
        <f>C22*EXP(RATES!P24)*(DATA!$B$12)</f>
        <v>362.79411443288319</v>
      </c>
      <c r="O23">
        <f t="shared" si="3"/>
        <v>1813.9705721644159</v>
      </c>
      <c r="P23">
        <f t="shared" si="4"/>
        <v>37.672481436901265</v>
      </c>
      <c r="Q23">
        <f>RATES!H24</f>
        <v>0.49462366847703498</v>
      </c>
      <c r="R23" s="44">
        <f t="shared" si="5"/>
        <v>676.04416799287287</v>
      </c>
      <c r="S23">
        <f t="shared" si="6"/>
        <v>334.38744642513967</v>
      </c>
      <c r="T23">
        <f>C22*EXP(RATES!P24)*(DATA!$B$6-DATA!$B$12)</f>
        <v>207.31092253307608</v>
      </c>
      <c r="U23">
        <f>B22*EXP(RATES!P24)*(DATA!$B$6-DATA!$B$12)</f>
        <v>829.24369013230432</v>
      </c>
      <c r="V23">
        <f t="shared" si="7"/>
        <v>1036.5546126653803</v>
      </c>
      <c r="W23">
        <f t="shared" si="8"/>
        <v>21.527132249657857</v>
      </c>
    </row>
    <row r="24" spans="1:23" x14ac:dyDescent="0.3">
      <c r="A24" s="5">
        <v>22</v>
      </c>
      <c r="B24">
        <f>B23*EXP(RATES!P25)*(1-DATA!$B$6)</f>
        <v>102524.63611246079</v>
      </c>
      <c r="C24">
        <f>C23*EXP(RATES!P25)*(1-DATA!$B$6)</f>
        <v>25631.159028115198</v>
      </c>
      <c r="D24">
        <f t="shared" si="1"/>
        <v>128155.795140576</v>
      </c>
      <c r="E24">
        <f>E23*(1-'LIFE TABLE MALE'!D84/1000)</f>
        <v>0.59321032950859998</v>
      </c>
      <c r="F24">
        <f t="shared" si="2"/>
        <v>2.8003761208561597E-2</v>
      </c>
      <c r="G24">
        <f t="shared" si="0"/>
        <v>128135.795140576</v>
      </c>
      <c r="H24">
        <f>MAX(D24,DATA!$B$3)</f>
        <v>128155.795140576</v>
      </c>
      <c r="I24">
        <f>G24*DATA!$B$7*F23*E24</f>
        <v>375.63657498005125</v>
      </c>
      <c r="J24">
        <f>H24*'LIFE TABLE MALE'!D84/1000*F23*E23</f>
        <v>156.90064987734829</v>
      </c>
      <c r="K24">
        <f>0</f>
        <v>0</v>
      </c>
      <c r="L24" s="43">
        <f>DATA!$B$8*((1+DATA!$B$9)^A23)*F24*E24</f>
        <v>1.2589215906148017</v>
      </c>
      <c r="M24">
        <f>B23*EXP(RATES!P25)*(DATA!$B$12)</f>
        <v>1467.6328277857374</v>
      </c>
      <c r="N24">
        <f>C23*EXP(RATES!P25)*(DATA!$B$12)</f>
        <v>366.90820694643435</v>
      </c>
      <c r="O24">
        <f t="shared" si="3"/>
        <v>1834.5410347321717</v>
      </c>
      <c r="P24">
        <f t="shared" si="4"/>
        <v>30.475616573415127</v>
      </c>
      <c r="Q24">
        <f>RATES!H25</f>
        <v>0.47831781419125513</v>
      </c>
      <c r="R24" s="44">
        <f t="shared" si="5"/>
        <v>564.27176302142948</v>
      </c>
      <c r="S24">
        <f t="shared" si="6"/>
        <v>269.90123629825604</v>
      </c>
      <c r="T24">
        <f>C23*EXP(RATES!P25)*(DATA!$B$6-DATA!$B$12)</f>
        <v>209.66183254081957</v>
      </c>
      <c r="U24">
        <f>B23*EXP(RATES!P25)*(DATA!$B$6-DATA!$B$12)</f>
        <v>838.6473301632783</v>
      </c>
      <c r="V24">
        <f t="shared" si="7"/>
        <v>1048.3091627040978</v>
      </c>
      <c r="W24">
        <f t="shared" si="8"/>
        <v>17.414638041951495</v>
      </c>
    </row>
    <row r="25" spans="1:23" x14ac:dyDescent="0.3">
      <c r="A25" s="5">
        <v>23</v>
      </c>
      <c r="B25">
        <f>B24*EXP(RATES!P26)*(1-DATA!$B$6)</f>
        <v>103779.55436455461</v>
      </c>
      <c r="C25">
        <f>C24*EXP(RATES!P26)*(1-DATA!$B$6)</f>
        <v>25944.888591138653</v>
      </c>
      <c r="D25">
        <f t="shared" si="1"/>
        <v>129724.44295569326</v>
      </c>
      <c r="E25">
        <f>E24*(1-'LIFE TABLE MALE'!D85/1000)</f>
        <v>0.55421480613968421</v>
      </c>
      <c r="F25">
        <f t="shared" si="2"/>
        <v>2.3803197027277356E-2</v>
      </c>
      <c r="G25">
        <f t="shared" si="0"/>
        <v>129704.44295569326</v>
      </c>
      <c r="H25">
        <f>MAX(D25,DATA!$B$3)</f>
        <v>129724.44295569326</v>
      </c>
      <c r="I25">
        <f>G25*DATA!$B$7*F24*E25</f>
        <v>301.95387105087605</v>
      </c>
      <c r="J25">
        <f>H25*'LIFE TABLE MALE'!D85/1000*F24*E24</f>
        <v>141.66185803284603</v>
      </c>
      <c r="K25">
        <f>0</f>
        <v>0</v>
      </c>
      <c r="L25" s="43">
        <f>DATA!$B$8*((1+DATA!$B$9)^A24)*F25*E25</f>
        <v>1.0197347014261977</v>
      </c>
      <c r="M25">
        <f>B24*EXP(RATES!P26)*(DATA!$B$12)</f>
        <v>1485.5968927441356</v>
      </c>
      <c r="N25">
        <f>C24*EXP(RATES!P26)*(DATA!$B$12)</f>
        <v>371.39922318603391</v>
      </c>
      <c r="O25">
        <f t="shared" si="3"/>
        <v>1856.9961159301695</v>
      </c>
      <c r="P25">
        <f t="shared" si="4"/>
        <v>24.497649168663369</v>
      </c>
      <c r="Q25">
        <f>RATES!H26</f>
        <v>0.46213817570441679</v>
      </c>
      <c r="R25" s="44">
        <f t="shared" si="5"/>
        <v>469.13311295381163</v>
      </c>
      <c r="S25">
        <f t="shared" si="6"/>
        <v>216.80432098300861</v>
      </c>
      <c r="T25">
        <f>C24*EXP(RATES!P26)*(DATA!$B$6-DATA!$B$12)</f>
        <v>212.22812753487648</v>
      </c>
      <c r="U25">
        <f>B24*EXP(RATES!P26)*(DATA!$B$6-DATA!$B$12)</f>
        <v>848.91251013950591</v>
      </c>
      <c r="V25">
        <f t="shared" si="7"/>
        <v>1061.1406376743823</v>
      </c>
      <c r="W25">
        <f t="shared" si="8"/>
        <v>13.998656667807634</v>
      </c>
    </row>
    <row r="26" spans="1:23" x14ac:dyDescent="0.3">
      <c r="A26" s="5">
        <v>24</v>
      </c>
      <c r="B26">
        <f>B25*EXP(RATES!P27)*(1-DATA!$B$6)</f>
        <v>105155.52300345972</v>
      </c>
      <c r="C26">
        <f>C25*EXP(RATES!P27)*(1-DATA!$B$6)</f>
        <v>26288.88075086493</v>
      </c>
      <c r="D26">
        <f t="shared" si="1"/>
        <v>131444.40375432465</v>
      </c>
      <c r="E26">
        <f>E25*(1-'LIFE TABLE MALE'!D86/1000)</f>
        <v>0.51420915397167088</v>
      </c>
      <c r="F26">
        <f t="shared" si="2"/>
        <v>2.0232717473185752E-2</v>
      </c>
      <c r="G26">
        <f t="shared" si="0"/>
        <v>131424.40375432465</v>
      </c>
      <c r="H26">
        <f>MAX(D26,DATA!$B$3)</f>
        <v>131444.40375432465</v>
      </c>
      <c r="I26">
        <f>G26*DATA!$B$7*F25*E26</f>
        <v>241.29169242147938</v>
      </c>
      <c r="J26">
        <f>H26*'LIFE TABLE MALE'!D86/1000*F25*E25</f>
        <v>125.16956611444095</v>
      </c>
      <c r="K26">
        <f>0</f>
        <v>0</v>
      </c>
      <c r="L26" s="43">
        <f>DATA!$B$8*((1+DATA!$B$9)^A25)*F26*E26</f>
        <v>0.8202910549354403</v>
      </c>
      <c r="M26">
        <f>B25*EXP(RATES!P27)*(DATA!$B$12)</f>
        <v>1505.2937853255994</v>
      </c>
      <c r="N26">
        <f>C25*EXP(RATES!P27)*(DATA!$B$12)</f>
        <v>376.32344633139985</v>
      </c>
      <c r="O26">
        <f t="shared" si="3"/>
        <v>1881.6172316569991</v>
      </c>
      <c r="P26">
        <f t="shared" si="4"/>
        <v>19.576060677941726</v>
      </c>
      <c r="Q26">
        <f>RATES!H27</f>
        <v>0.44605705647492638</v>
      </c>
      <c r="R26" s="44">
        <f t="shared" si="5"/>
        <v>386.85761026879754</v>
      </c>
      <c r="S26">
        <f t="shared" si="6"/>
        <v>172.56056691142408</v>
      </c>
      <c r="T26">
        <f>C25*EXP(RATES!P27)*(DATA!$B$6-DATA!$B$12)</f>
        <v>215.04196933222843</v>
      </c>
      <c r="U26">
        <f>B25*EXP(RATES!P27)*(DATA!$B$6-DATA!$B$12)</f>
        <v>860.16787732891373</v>
      </c>
      <c r="V26">
        <f t="shared" si="7"/>
        <v>1075.2098466611421</v>
      </c>
      <c r="W26">
        <f t="shared" si="8"/>
        <v>11.186320387395268</v>
      </c>
    </row>
    <row r="27" spans="1:23" x14ac:dyDescent="0.3">
      <c r="A27" s="6">
        <v>25</v>
      </c>
      <c r="B27">
        <f>B26*EXP(RATES!P28)*(1-DATA!$B$6)</f>
        <v>106617.73358536865</v>
      </c>
      <c r="C27">
        <f>C26*EXP(RATES!P28)*(1-DATA!$B$6)</f>
        <v>26654.433396342163</v>
      </c>
      <c r="D27">
        <f t="shared" si="1"/>
        <v>133272.16698171082</v>
      </c>
      <c r="E27">
        <f>E26*(1-'LIFE TABLE MALE'!D87/1000)</f>
        <v>0.47242590134255708</v>
      </c>
      <c r="F27">
        <f t="shared" si="2"/>
        <v>1.7197809852207889E-2</v>
      </c>
      <c r="G27">
        <f t="shared" si="0"/>
        <v>133252.16698171082</v>
      </c>
      <c r="H27">
        <f>MAX(D27,DATA!$B$3)</f>
        <v>133272.16698171082</v>
      </c>
      <c r="I27">
        <f>G27*DATA!$B$7*F26*E27</f>
        <v>191.05282198135257</v>
      </c>
      <c r="J27">
        <f>H27*'LIFE TABLE MALE'!D87/1000*F26*E26</f>
        <v>112.66679006214565</v>
      </c>
      <c r="K27">
        <f>0</f>
        <v>0</v>
      </c>
      <c r="L27" s="43">
        <f>DATA!$B$8*((1+DATA!$B$9)^A26)*F27*E27</f>
        <v>0.653402767811879</v>
      </c>
      <c r="M27">
        <f>B26*EXP(RATES!P28)*(DATA!$B$12)</f>
        <v>1526.2252251484265</v>
      </c>
      <c r="N27">
        <f>C26*EXP(RATES!P28)*(DATA!$B$12)</f>
        <v>381.55630628710662</v>
      </c>
      <c r="O27">
        <f t="shared" si="3"/>
        <v>1907.781531435533</v>
      </c>
      <c r="P27">
        <f t="shared" si="4"/>
        <v>15.500135096063792</v>
      </c>
      <c r="Q27">
        <f>RATES!H28</f>
        <v>0.43026092876836247</v>
      </c>
      <c r="R27" s="44">
        <f t="shared" si="5"/>
        <v>319.87314990737389</v>
      </c>
      <c r="S27">
        <f t="shared" si="6"/>
        <v>137.62891856720833</v>
      </c>
      <c r="T27">
        <f>C26*EXP(RATES!P28)*(DATA!$B$6-DATA!$B$12)</f>
        <v>218.03217502120376</v>
      </c>
      <c r="U27">
        <f>B26*EXP(RATES!P28)*(DATA!$B$6-DATA!$B$12)</f>
        <v>872.12870008481502</v>
      </c>
      <c r="V27">
        <f t="shared" si="7"/>
        <v>1090.1608751060187</v>
      </c>
      <c r="W27">
        <f t="shared" si="8"/>
        <v>8.8572200548935935</v>
      </c>
    </row>
    <row r="28" spans="1:23" x14ac:dyDescent="0.3">
      <c r="A28" s="5">
        <v>26</v>
      </c>
      <c r="B28">
        <f>B27*EXP(RATES!P29)*(1-DATA!$B$6)</f>
        <v>108175.5220198626</v>
      </c>
      <c r="C28">
        <f>C27*EXP(RATES!P29)*(1-DATA!$B$6)</f>
        <v>27043.880504965651</v>
      </c>
      <c r="D28">
        <f t="shared" si="1"/>
        <v>135219.40252482827</v>
      </c>
      <c r="E28">
        <f>E27*(1-'LIFE TABLE MALE'!D88/1000)</f>
        <v>0.42866056426106119</v>
      </c>
      <c r="F28">
        <f t="shared" si="2"/>
        <v>1.4618138374376706E-2</v>
      </c>
      <c r="G28">
        <f t="shared" si="0"/>
        <v>135199.40252482827</v>
      </c>
      <c r="H28">
        <f>MAX(D28,DATA!$B$3)</f>
        <v>135219.40252482827</v>
      </c>
      <c r="I28">
        <f>G28*DATA!$B$7*F27*E28</f>
        <v>149.50396322102691</v>
      </c>
      <c r="J28">
        <f>H28*'LIFE TABLE MALE'!D88/1000*F27*E27</f>
        <v>101.77530985566636</v>
      </c>
      <c r="K28">
        <f>0</f>
        <v>0</v>
      </c>
      <c r="L28" s="43">
        <f>DATA!$B$8*((1+DATA!$B$9)^A27)*F28*E28</f>
        <v>0.51401985912343284</v>
      </c>
      <c r="M28">
        <f>B27*EXP(RATES!P29)*(DATA!$B$12)</f>
        <v>1548.5248550900578</v>
      </c>
      <c r="N28">
        <f>C27*EXP(RATES!P29)*(DATA!$B$12)</f>
        <v>387.13121377251446</v>
      </c>
      <c r="O28">
        <f t="shared" si="3"/>
        <v>1935.6560688625723</v>
      </c>
      <c r="P28">
        <f t="shared" si="4"/>
        <v>12.12924569561601</v>
      </c>
      <c r="Q28">
        <f>RATES!H29</f>
        <v>0.41473550065898657</v>
      </c>
      <c r="R28" s="44">
        <f t="shared" si="5"/>
        <v>263.9225386314327</v>
      </c>
      <c r="S28">
        <f t="shared" si="6"/>
        <v>109.45804619449797</v>
      </c>
      <c r="T28">
        <f>C27*EXP(RATES!P29)*(DATA!$B$6-DATA!$B$12)</f>
        <v>221.21783644143676</v>
      </c>
      <c r="U28">
        <f>B27*EXP(RATES!P29)*(DATA!$B$6-DATA!$B$12)</f>
        <v>884.87134576574704</v>
      </c>
      <c r="V28">
        <f t="shared" si="7"/>
        <v>1106.0891822071837</v>
      </c>
      <c r="W28">
        <f t="shared" si="8"/>
        <v>6.9309975403520037</v>
      </c>
    </row>
    <row r="29" spans="1:23" x14ac:dyDescent="0.3">
      <c r="A29" s="5">
        <v>27</v>
      </c>
      <c r="B29">
        <f>B28*EXP(RATES!P30)*(1-DATA!$B$6)</f>
        <v>109838.81712533059</v>
      </c>
      <c r="C29">
        <f>C28*EXP(RATES!P30)*(1-DATA!$B$6)</f>
        <v>27459.704281332648</v>
      </c>
      <c r="D29">
        <f t="shared" si="1"/>
        <v>137298.52140666323</v>
      </c>
      <c r="E29">
        <f>E28*(1-'LIFE TABLE MALE'!D89/1000)</f>
        <v>0.38279328376033767</v>
      </c>
      <c r="F29">
        <f t="shared" si="2"/>
        <v>1.24254176182202E-2</v>
      </c>
      <c r="G29">
        <f t="shared" si="0"/>
        <v>137278.52140666323</v>
      </c>
      <c r="H29">
        <f>MAX(D29,DATA!$B$3)</f>
        <v>137298.52140666323</v>
      </c>
      <c r="I29">
        <f>G29*DATA!$B$7*F28*E29</f>
        <v>115.22593205846412</v>
      </c>
      <c r="J29">
        <f>H29*'LIFE TABLE MALE'!D89/1000*F28*E28</f>
        <v>92.057869578211609</v>
      </c>
      <c r="K29">
        <f>0</f>
        <v>0</v>
      </c>
      <c r="L29" s="43">
        <f>DATA!$B$8*((1+DATA!$B$9)^A28)*F29*E29</f>
        <v>0.39796948563168955</v>
      </c>
      <c r="M29">
        <f>B28*EXP(RATES!P30)*(DATA!$B$12)</f>
        <v>1572.3348054750802</v>
      </c>
      <c r="N29">
        <f>C28*EXP(RATES!P30)*(DATA!$B$12)</f>
        <v>393.08370136877005</v>
      </c>
      <c r="O29">
        <f t="shared" si="3"/>
        <v>1965.4185068438503</v>
      </c>
      <c r="P29">
        <f t="shared" si="4"/>
        <v>9.3482505718134608</v>
      </c>
      <c r="Q29">
        <f>RATES!H30</f>
        <v>0.39946912565201997</v>
      </c>
      <c r="R29" s="44">
        <f t="shared" si="5"/>
        <v>217.03002169412088</v>
      </c>
      <c r="S29">
        <f t="shared" si="6"/>
        <v>86.696793006389399</v>
      </c>
      <c r="T29">
        <f>C28*EXP(RATES!P30)*(DATA!$B$6-DATA!$B$12)</f>
        <v>224.6192579250114</v>
      </c>
      <c r="U29">
        <f>B28*EXP(RATES!P30)*(DATA!$B$6-DATA!$B$12)</f>
        <v>898.47703170004559</v>
      </c>
      <c r="V29">
        <f t="shared" si="7"/>
        <v>1123.0962896250569</v>
      </c>
      <c r="W29">
        <f t="shared" si="8"/>
        <v>5.3418574696076888</v>
      </c>
    </row>
    <row r="30" spans="1:23" x14ac:dyDescent="0.3">
      <c r="A30" s="5">
        <v>28</v>
      </c>
      <c r="B30">
        <f>B29*EXP(RATES!P31)*(1-DATA!$B$6)</f>
        <v>111588.01237700092</v>
      </c>
      <c r="C30">
        <f>C29*EXP(RATES!P31)*(1-DATA!$B$6)</f>
        <v>27897.003094250231</v>
      </c>
      <c r="D30">
        <f t="shared" si="1"/>
        <v>139485.01547125116</v>
      </c>
      <c r="E30">
        <f>E29*(1-'LIFE TABLE MALE'!D90/1000)</f>
        <v>0.33599119307109643</v>
      </c>
      <c r="F30">
        <f t="shared" si="2"/>
        <v>1.0561604975487169E-2</v>
      </c>
      <c r="G30">
        <f t="shared" si="0"/>
        <v>139465.01547125116</v>
      </c>
      <c r="H30">
        <f>MAX(D30,DATA!$B$3)</f>
        <v>139485.01547125116</v>
      </c>
      <c r="I30">
        <f>G30*DATA!$B$7*F29*E30</f>
        <v>87.336428198560853</v>
      </c>
      <c r="J30">
        <f>H30*'LIFE TABLE MALE'!D90/1000*F29*E29</f>
        <v>81.115491313888242</v>
      </c>
      <c r="K30">
        <f>0</f>
        <v>0</v>
      </c>
      <c r="L30" s="43">
        <f>DATA!$B$8*((1+DATA!$B$9)^A29)*F30*E30</f>
        <v>0.30285340150374207</v>
      </c>
      <c r="M30">
        <f>B29*EXP(RATES!P31)*(DATA!$B$12)</f>
        <v>1597.3744103047168</v>
      </c>
      <c r="N30">
        <f>C29*EXP(RATES!P31)*(DATA!$B$12)</f>
        <v>399.34360257617919</v>
      </c>
      <c r="O30">
        <f t="shared" si="3"/>
        <v>1996.7180128808959</v>
      </c>
      <c r="P30">
        <f t="shared" si="4"/>
        <v>7.0855660328946524</v>
      </c>
      <c r="Q30">
        <f>RATES!H31</f>
        <v>0.38455669716076785</v>
      </c>
      <c r="R30" s="44">
        <f t="shared" si="5"/>
        <v>175.84033894684751</v>
      </c>
      <c r="S30">
        <f t="shared" si="6"/>
        <v>67.620579973029606</v>
      </c>
      <c r="T30">
        <f>C29*EXP(RATES!P31)*(DATA!$B$6-DATA!$B$12)</f>
        <v>228.19634432924519</v>
      </c>
      <c r="U30">
        <f>B29*EXP(RATES!P31)*(DATA!$B$6-DATA!$B$12)</f>
        <v>912.78537731698077</v>
      </c>
      <c r="V30">
        <f t="shared" si="7"/>
        <v>1140.9817216462259</v>
      </c>
      <c r="W30">
        <f t="shared" si="8"/>
        <v>4.0488948759397996</v>
      </c>
    </row>
    <row r="31" spans="1:23" x14ac:dyDescent="0.3">
      <c r="A31" s="5">
        <v>29</v>
      </c>
      <c r="B31">
        <f>B30*EXP(RATES!P32)*(1-DATA!$B$6)</f>
        <v>113397.87012502472</v>
      </c>
      <c r="C31">
        <f>C30*EXP(RATES!P32)*(1-DATA!$B$6)</f>
        <v>28349.467531256181</v>
      </c>
      <c r="D31">
        <f t="shared" si="1"/>
        <v>141747.3376562809</v>
      </c>
      <c r="E31">
        <f>E30*(1-'LIFE TABLE MALE'!D91/1000)</f>
        <v>0.28899294993893926</v>
      </c>
      <c r="F31">
        <f t="shared" si="2"/>
        <v>8.9773642291640938E-3</v>
      </c>
      <c r="G31">
        <f t="shared" si="0"/>
        <v>141727.3376562809</v>
      </c>
      <c r="H31">
        <f>MAX(D31,DATA!$B$3)</f>
        <v>141747.3376562809</v>
      </c>
      <c r="I31">
        <f>G31*DATA!$B$7*F30*E31</f>
        <v>64.887651548094595</v>
      </c>
      <c r="J31">
        <f>H31*'LIFE TABLE MALE'!D91/1000*F30*E30</f>
        <v>70.360101002041361</v>
      </c>
      <c r="K31">
        <f>0</f>
        <v>0</v>
      </c>
      <c r="L31" s="43">
        <f>DATA!$B$8*((1+DATA!$B$9)^A30)*F31*E31</f>
        <v>0.22584522226719111</v>
      </c>
      <c r="M31">
        <f>B30*EXP(RATES!P32)*(DATA!$B$12)</f>
        <v>1623.2823944277568</v>
      </c>
      <c r="N31">
        <f>C30*EXP(RATES!P32)*(DATA!$B$12)</f>
        <v>405.8205986069392</v>
      </c>
      <c r="O31">
        <f t="shared" si="3"/>
        <v>2029.1029930346961</v>
      </c>
      <c r="P31">
        <f t="shared" si="4"/>
        <v>5.2642946013027867</v>
      </c>
      <c r="Q31">
        <f>RATES!H32</f>
        <v>0.37009385847855797</v>
      </c>
      <c r="R31" s="45">
        <f t="shared" si="5"/>
        <v>140.73789237370593</v>
      </c>
      <c r="S31">
        <f t="shared" si="6"/>
        <v>52.086229622724844</v>
      </c>
      <c r="T31">
        <f>C30*EXP(RATES!P32)*(DATA!$B$6-DATA!$B$12)</f>
        <v>231.89748491825091</v>
      </c>
      <c r="U31">
        <f>B30*EXP(RATES!P32)*(DATA!$B$6-DATA!$B$12)</f>
        <v>927.58993967300364</v>
      </c>
      <c r="V31">
        <f t="shared" si="7"/>
        <v>1159.4874245912545</v>
      </c>
      <c r="W31">
        <f t="shared" si="8"/>
        <v>3.0081683436015916</v>
      </c>
    </row>
    <row r="32" spans="1:23" x14ac:dyDescent="0.3">
      <c r="A32" s="6">
        <v>30</v>
      </c>
      <c r="B32">
        <f>B31*EXP(RATES!P33)*(1-DATA!$B$6)</f>
        <v>115270.4230077034</v>
      </c>
      <c r="C32">
        <f>C31*EXP(RATES!P33)*(1-DATA!$B$6)</f>
        <v>28817.60575192585</v>
      </c>
      <c r="D32">
        <f t="shared" si="1"/>
        <v>144088.02875962926</v>
      </c>
      <c r="E32">
        <f>E31*(1-'LIFE TABLE MALE'!D92/1000)</f>
        <v>0.24274450939213651</v>
      </c>
      <c r="F32">
        <f t="shared" si="2"/>
        <v>7.6307595947894798E-3</v>
      </c>
      <c r="G32">
        <f t="shared" si="0"/>
        <v>144068.02875962926</v>
      </c>
      <c r="H32">
        <f>MAX(D32,DATA!$B$3)</f>
        <v>144088.02875962926</v>
      </c>
      <c r="I32">
        <f>G32*DATA!$B$7*F31*E32</f>
        <v>47.09308421047028</v>
      </c>
      <c r="J32">
        <f>H32*'LIFE TABLE MALE'!D92/1000*F31*E31</f>
        <v>59.823778379123056</v>
      </c>
      <c r="K32">
        <f>0</f>
        <v>0</v>
      </c>
      <c r="L32" s="43">
        <f>DATA!$B$8*((1+DATA!$B$9)^A31)*F32*E32</f>
        <v>0.16447207527623681</v>
      </c>
      <c r="M32">
        <f>B31*EXP(RATES!P33)*(DATA!$B$12)</f>
        <v>1650.0878549159997</v>
      </c>
      <c r="N32">
        <f>C31*EXP(RATES!P33)*(DATA!$B$12)</f>
        <v>412.52196372899994</v>
      </c>
      <c r="O32">
        <f t="shared" si="3"/>
        <v>2062.6098186449999</v>
      </c>
      <c r="P32">
        <f t="shared" si="4"/>
        <v>3.8206237202068825</v>
      </c>
      <c r="Q32">
        <f>RATES!H33</f>
        <v>0.35607193424219302</v>
      </c>
      <c r="R32" s="45">
        <f t="shared" si="5"/>
        <v>110.90195838507645</v>
      </c>
      <c r="S32">
        <f t="shared" si="6"/>
        <v>39.48907483342137</v>
      </c>
      <c r="T32">
        <f>C31*EXP(RATES!P33)*(DATA!$B$6-DATA!$B$12)</f>
        <v>235.72683641657133</v>
      </c>
      <c r="U32">
        <f>B31*EXP(RATES!P33)*(DATA!$B$6-DATA!$B$12)</f>
        <v>942.90734566628532</v>
      </c>
      <c r="V32">
        <f t="shared" si="7"/>
        <v>1178.6341820828566</v>
      </c>
      <c r="W32">
        <f t="shared" si="8"/>
        <v>2.1832135544039319</v>
      </c>
    </row>
    <row r="33" spans="1:23" x14ac:dyDescent="0.3">
      <c r="A33" s="5">
        <v>31</v>
      </c>
      <c r="B33">
        <f>B32*EXP(RATES!P34)*(1-DATA!$B$6)</f>
        <v>117242.89648452768</v>
      </c>
      <c r="C33">
        <f>C32*EXP(RATES!P34)*(1-DATA!$B$6)</f>
        <v>29310.72412113192</v>
      </c>
      <c r="D33">
        <f t="shared" si="1"/>
        <v>146553.62060565961</v>
      </c>
      <c r="E33">
        <f>E32*(1-'LIFE TABLE MALE'!D93/1000)</f>
        <v>0.1988663322971663</v>
      </c>
      <c r="F33">
        <f t="shared" si="2"/>
        <v>6.486145655571058E-3</v>
      </c>
      <c r="G33">
        <f t="shared" si="0"/>
        <v>146533.62060565961</v>
      </c>
      <c r="H33">
        <f>MAX(D33,DATA!$B$3)</f>
        <v>146553.62060565961</v>
      </c>
      <c r="I33">
        <f>G33*DATA!$B$7*F32*E33</f>
        <v>33.354741178606965</v>
      </c>
      <c r="J33">
        <f>H33*'LIFE TABLE MALE'!D93/1000*F32*E32</f>
        <v>49.069643213419042</v>
      </c>
      <c r="K33">
        <f>0</f>
        <v>0</v>
      </c>
      <c r="L33" s="43">
        <f>DATA!$B$8*((1+DATA!$B$9)^A32)*F33*E33</f>
        <v>0.11682159148546863</v>
      </c>
      <c r="M33">
        <f>B32*EXP(RATES!P34)*(DATA!$B$12)</f>
        <v>1678.3236715576559</v>
      </c>
      <c r="N33">
        <f>C32*EXP(RATES!P34)*(DATA!$B$12)</f>
        <v>419.58091788941397</v>
      </c>
      <c r="O33">
        <f t="shared" si="3"/>
        <v>2097.9045894470701</v>
      </c>
      <c r="P33">
        <f t="shared" si="4"/>
        <v>2.706036774487445</v>
      </c>
      <c r="Q33">
        <f>RATES!H34</f>
        <v>0.3423796520753668</v>
      </c>
      <c r="R33" s="45">
        <f t="shared" si="5"/>
        <v>85.247242757998919</v>
      </c>
      <c r="S33">
        <f t="shared" si="6"/>
        <v>29.186921315868002</v>
      </c>
      <c r="T33">
        <f>C32*EXP(RATES!P34)*(DATA!$B$6-DATA!$B$12)</f>
        <v>239.7605245082365</v>
      </c>
      <c r="U33">
        <f>B32*EXP(RATES!P34)*(DATA!$B$6-DATA!$B$12)</f>
        <v>959.042098032946</v>
      </c>
      <c r="V33">
        <f t="shared" si="7"/>
        <v>1198.8026225411825</v>
      </c>
      <c r="W33">
        <f t="shared" si="8"/>
        <v>1.5463067282785394</v>
      </c>
    </row>
    <row r="34" spans="1:23" x14ac:dyDescent="0.3">
      <c r="A34" s="5">
        <v>32</v>
      </c>
      <c r="B34">
        <f>B33*EXP(RATES!P35)*(1-DATA!$B$6)</f>
        <v>119285.90258672184</v>
      </c>
      <c r="C34">
        <f>C33*EXP(RATES!P35)*(1-DATA!$B$6)</f>
        <v>29821.475646680461</v>
      </c>
      <c r="D34">
        <f t="shared" si="1"/>
        <v>149107.3782334023</v>
      </c>
      <c r="E34">
        <f>E33*(1-'LIFE TABLE MALE'!D94/1000)</f>
        <v>0.1590545553724837</v>
      </c>
      <c r="F34">
        <f t="shared" si="2"/>
        <v>5.5132238072353994E-3</v>
      </c>
      <c r="G34">
        <f t="shared" si="0"/>
        <v>149087.3782334023</v>
      </c>
      <c r="H34">
        <f>MAX(D34,DATA!$B$3)</f>
        <v>149107.3782334023</v>
      </c>
      <c r="I34">
        <f>G34*DATA!$B$7*F33*E34</f>
        <v>23.070921724336124</v>
      </c>
      <c r="J34">
        <f>H34*'LIFE TABLE MALE'!D94/1000*F33*E33</f>
        <v>38.503250349744413</v>
      </c>
      <c r="K34">
        <f>0</f>
        <v>0</v>
      </c>
      <c r="L34" s="43">
        <f>DATA!$B$8*((1+DATA!$B$9)^A33)*F34*E34</f>
        <v>8.1007842145788281E-2</v>
      </c>
      <c r="M34">
        <f>B33*EXP(RATES!P35)*(DATA!$B$12)</f>
        <v>1707.569157683135</v>
      </c>
      <c r="N34">
        <f>C33*EXP(RATES!P35)*(DATA!$B$12)</f>
        <v>426.89228942078375</v>
      </c>
      <c r="O34">
        <f t="shared" si="3"/>
        <v>2134.4614471039185</v>
      </c>
      <c r="P34">
        <f t="shared" si="4"/>
        <v>1.8717164175921999</v>
      </c>
      <c r="Q34">
        <f>RATES!H35</f>
        <v>0.32911237999639242</v>
      </c>
      <c r="R34" s="45">
        <f t="shared" si="5"/>
        <v>63.526896333818527</v>
      </c>
      <c r="S34">
        <f t="shared" si="6"/>
        <v>20.907488046207114</v>
      </c>
      <c r="T34">
        <f>C33*EXP(RATES!P35)*(DATA!$B$6-DATA!$B$12)</f>
        <v>243.93845109759064</v>
      </c>
      <c r="U34">
        <f>B33*EXP(RATES!P35)*(DATA!$B$6-DATA!$B$12)</f>
        <v>975.75380439036257</v>
      </c>
      <c r="V34">
        <f t="shared" si="7"/>
        <v>1219.6922554879532</v>
      </c>
      <c r="W34">
        <f t="shared" si="8"/>
        <v>1.0695522386241139</v>
      </c>
    </row>
    <row r="35" spans="1:23" x14ac:dyDescent="0.3">
      <c r="A35" s="5">
        <v>33</v>
      </c>
      <c r="B35">
        <f>B34*EXP(RATES!P36)*(1-DATA!$B$6)</f>
        <v>121401.93294042083</v>
      </c>
      <c r="C35">
        <f>C34*EXP(RATES!P36)*(1-DATA!$B$6)</f>
        <v>30350.483235105206</v>
      </c>
      <c r="D35">
        <f t="shared" si="1"/>
        <v>151752.41617552604</v>
      </c>
      <c r="E35">
        <f>E34*(1-'LIFE TABLE MALE'!D95/1000)</f>
        <v>0.12331571729742245</v>
      </c>
      <c r="F35">
        <f t="shared" si="2"/>
        <v>4.6862402361500894E-3</v>
      </c>
      <c r="G35">
        <f t="shared" si="0"/>
        <v>151732.41617552604</v>
      </c>
      <c r="H35">
        <f>MAX(D35,DATA!$B$3)</f>
        <v>151752.41617552604</v>
      </c>
      <c r="I35">
        <f>G35*DATA!$B$7*F34*E35</f>
        <v>15.473682766002598</v>
      </c>
      <c r="J35">
        <f>H35*'LIFE TABLE MALE'!D95/1000*F34*E34</f>
        <v>29.90072138443632</v>
      </c>
      <c r="K35">
        <f>0</f>
        <v>0</v>
      </c>
      <c r="L35" s="43">
        <f>DATA!$B$8*((1+DATA!$B$9)^A34)*F35*E35</f>
        <v>5.4452582632661027E-2</v>
      </c>
      <c r="M35">
        <f>B34*EXP(RATES!P36)*(DATA!$B$12)</f>
        <v>1737.8599807422204</v>
      </c>
      <c r="N35">
        <f>C34*EXP(RATES!P36)*(DATA!$B$12)</f>
        <v>434.4649951855551</v>
      </c>
      <c r="O35">
        <f t="shared" si="3"/>
        <v>2172.3249759277755</v>
      </c>
      <c r="P35">
        <f t="shared" si="4"/>
        <v>1.2553585287841116</v>
      </c>
      <c r="Q35">
        <f>RATES!H36</f>
        <v>0.3162616944375104</v>
      </c>
      <c r="R35" s="45">
        <f t="shared" si="5"/>
        <v>46.684215261855691</v>
      </c>
      <c r="S35">
        <f t="shared" si="6"/>
        <v>14.764429022199964</v>
      </c>
      <c r="T35">
        <f>C34*EXP(RATES!P36)*(DATA!$B$6-DATA!$B$12)</f>
        <v>248.26571153460287</v>
      </c>
      <c r="U35">
        <f>B34*EXP(RATES!P36)*(DATA!$B$6-DATA!$B$12)</f>
        <v>993.06284613841149</v>
      </c>
      <c r="V35">
        <f t="shared" si="7"/>
        <v>1241.3285576730143</v>
      </c>
      <c r="W35">
        <f t="shared" si="8"/>
        <v>0.71734773073377778</v>
      </c>
    </row>
    <row r="36" spans="1:23" x14ac:dyDescent="0.3">
      <c r="A36" s="5">
        <v>34</v>
      </c>
      <c r="B36">
        <f>B35*EXP(RATES!P37)*(1-DATA!$B$6)</f>
        <v>123593.59068485699</v>
      </c>
      <c r="C36">
        <f>C35*EXP(RATES!P37)*(1-DATA!$B$6)</f>
        <v>30898.397671214247</v>
      </c>
      <c r="D36">
        <f t="shared" si="1"/>
        <v>154491.98835607123</v>
      </c>
      <c r="E36">
        <f>E35*(1-'LIFE TABLE MALE'!D96/1000)</f>
        <v>9.2980118665901043E-2</v>
      </c>
      <c r="F36">
        <f t="shared" si="2"/>
        <v>3.9833042007275761E-3</v>
      </c>
      <c r="G36">
        <f t="shared" si="0"/>
        <v>154471.98835607123</v>
      </c>
      <c r="H36">
        <f>MAX(D36,DATA!$B$3)</f>
        <v>154491.98835607123</v>
      </c>
      <c r="I36">
        <f>G36*DATA!$B$7*F35*E36</f>
        <v>10.09614642500096</v>
      </c>
      <c r="J36">
        <f>H36*'LIFE TABLE MALE'!D96/1000*F35*E35</f>
        <v>21.962566062713652</v>
      </c>
      <c r="K36">
        <f>0</f>
        <v>0</v>
      </c>
      <c r="L36" s="43">
        <f>DATA!$B$8*((1+DATA!$B$9)^A35)*F36*E36</f>
        <v>3.5596659379171933E-2</v>
      </c>
      <c r="M36">
        <f>B35*EXP(RATES!P37)*(DATA!$B$12)</f>
        <v>1769.2334044867052</v>
      </c>
      <c r="N36">
        <f>C35*EXP(RATES!P37)*(DATA!$B$12)</f>
        <v>442.30835112167631</v>
      </c>
      <c r="O36">
        <f t="shared" si="3"/>
        <v>2211.5417556083817</v>
      </c>
      <c r="P36">
        <f t="shared" si="4"/>
        <v>0.81908451204905652</v>
      </c>
      <c r="Q36">
        <f>RATES!H37</f>
        <v>0.30381911901110625</v>
      </c>
      <c r="R36" s="45">
        <f t="shared" si="5"/>
        <v>32.913393659142841</v>
      </c>
      <c r="S36">
        <f t="shared" si="6"/>
        <v>9.9997182651865089</v>
      </c>
      <c r="T36">
        <f>C35*EXP(RATES!P37)*(DATA!$B$6-DATA!$B$12)</f>
        <v>252.74762921238641</v>
      </c>
      <c r="U36">
        <f>B35*EXP(RATES!P37)*(DATA!$B$6-DATA!$B$12)</f>
        <v>1010.9905168495457</v>
      </c>
      <c r="V36">
        <f t="shared" si="7"/>
        <v>1263.7381460619322</v>
      </c>
      <c r="W36">
        <f t="shared" si="8"/>
        <v>0.46804829259946085</v>
      </c>
    </row>
    <row r="37" spans="1:23" x14ac:dyDescent="0.3">
      <c r="A37" s="6">
        <v>35</v>
      </c>
      <c r="B37">
        <f>B36*EXP(RATES!P38)*(1-DATA!$B$6)</f>
        <v>125821.07376286369</v>
      </c>
      <c r="C37">
        <f>C36*EXP(RATES!P38)*(1-DATA!$B$6)</f>
        <v>31455.268440715921</v>
      </c>
      <c r="D37">
        <f t="shared" si="1"/>
        <v>157276.34220357961</v>
      </c>
      <c r="E37">
        <f>E36*(1-'LIFE TABLE MALE'!D97/1000)</f>
        <v>6.7353135477056972E-2</v>
      </c>
      <c r="F37">
        <f t="shared" si="2"/>
        <v>3.3858085706184394E-3</v>
      </c>
      <c r="G37">
        <f t="shared" si="0"/>
        <v>157256.34220357961</v>
      </c>
      <c r="H37">
        <f>MAX(D37,DATA!$B$3)</f>
        <v>157276.34220357961</v>
      </c>
      <c r="I37">
        <f>G37*DATA!$B$7*F36*E37</f>
        <v>6.328499078729017</v>
      </c>
      <c r="J37">
        <f>H37*'LIFE TABLE MALE'!D97/1000*F36*E36</f>
        <v>16.054779988158121</v>
      </c>
      <c r="K37">
        <f>0</f>
        <v>0</v>
      </c>
      <c r="L37" s="43">
        <f>DATA!$B$8*((1+DATA!$B$9)^A36)*F37*E37</f>
        <v>2.2356100969064117E-2</v>
      </c>
      <c r="M37">
        <f>B36*EXP(RATES!P38)*(DATA!$B$12)</f>
        <v>1801.1196653170673</v>
      </c>
      <c r="N37">
        <f>C36*EXP(RATES!P38)*(DATA!$B$12)</f>
        <v>450.27991632926683</v>
      </c>
      <c r="O37">
        <f t="shared" si="3"/>
        <v>2251.3995816463339</v>
      </c>
      <c r="P37">
        <f t="shared" si="4"/>
        <v>0.51342001990086061</v>
      </c>
      <c r="Q37">
        <f>RATES!H38</f>
        <v>0.29187474427444626</v>
      </c>
      <c r="R37" s="45">
        <f t="shared" si="5"/>
        <v>22.919055187757063</v>
      </c>
      <c r="S37">
        <f t="shared" si="6"/>
        <v>6.6894933719385135</v>
      </c>
      <c r="T37">
        <f>C36*EXP(RATES!P38)*(DATA!$B$6-DATA!$B$12)</f>
        <v>257.30280933100954</v>
      </c>
      <c r="U37">
        <f>B36*EXP(RATES!P38)*(DATA!$B$6-DATA!$B$12)</f>
        <v>1029.2112373240382</v>
      </c>
      <c r="V37">
        <f t="shared" si="7"/>
        <v>1286.5140466550477</v>
      </c>
      <c r="W37">
        <f t="shared" si="8"/>
        <v>0.29338286851477746</v>
      </c>
    </row>
    <row r="38" spans="1:23" x14ac:dyDescent="0.3">
      <c r="A38" s="5">
        <v>36</v>
      </c>
      <c r="B38">
        <f>B37*EXP(RATES!P39)*(1-DATA!$B$6)</f>
        <v>128125.71142837626</v>
      </c>
      <c r="C38">
        <f>C37*EXP(RATES!P39)*(1-DATA!$B$6)</f>
        <v>32031.427857094066</v>
      </c>
      <c r="D38">
        <f t="shared" si="1"/>
        <v>160157.13928547033</v>
      </c>
      <c r="E38">
        <f>E37*(1-'LIFE TABLE MALE'!D98/1000)</f>
        <v>4.6772681765307828E-2</v>
      </c>
      <c r="F38">
        <f t="shared" si="2"/>
        <v>2.8779372850256733E-3</v>
      </c>
      <c r="G38">
        <f t="shared" si="0"/>
        <v>160137.13928547033</v>
      </c>
      <c r="H38">
        <f>MAX(D38,DATA!$B$3)</f>
        <v>160157.13928547033</v>
      </c>
      <c r="I38">
        <f>G38*DATA!$B$7*F37*E38</f>
        <v>3.8039779984364706</v>
      </c>
      <c r="J38">
        <f>H38*'LIFE TABLE MALE'!D98/1000*F37*E37</f>
        <v>11.159985947750863</v>
      </c>
      <c r="K38">
        <f>0</f>
        <v>0</v>
      </c>
      <c r="L38" s="43">
        <f>DATA!$B$8*((1+DATA!$B$9)^A37)*F38*E38</f>
        <v>1.3460141117876221E-2</v>
      </c>
      <c r="M38">
        <f>B37*EXP(RATES!P39)*(DATA!$B$12)</f>
        <v>1834.1103885452635</v>
      </c>
      <c r="N38">
        <f>C37*EXP(RATES!P39)*(DATA!$B$12)</f>
        <v>458.52759713631588</v>
      </c>
      <c r="O38">
        <f t="shared" si="3"/>
        <v>2292.6379856815793</v>
      </c>
      <c r="P38">
        <f t="shared" si="4"/>
        <v>0.30860935073534052</v>
      </c>
      <c r="Q38">
        <f>RATES!H39</f>
        <v>0.28031895758030101</v>
      </c>
      <c r="R38" s="46">
        <f t="shared" si="5"/>
        <v>15.286033438040551</v>
      </c>
      <c r="S38">
        <f t="shared" si="6"/>
        <v>4.2849649588891516</v>
      </c>
      <c r="T38">
        <f>C37*EXP(RATES!P39)*(DATA!$B$6-DATA!$B$12)</f>
        <v>262.01576979218044</v>
      </c>
      <c r="U38">
        <f>B37*EXP(RATES!P39)*(DATA!$B$6-DATA!$B$12)</f>
        <v>1048.0630791687217</v>
      </c>
      <c r="V38">
        <f t="shared" si="7"/>
        <v>1310.0788489609022</v>
      </c>
      <c r="W38">
        <f t="shared" si="8"/>
        <v>0.17634820042019456</v>
      </c>
    </row>
    <row r="39" spans="1:23" x14ac:dyDescent="0.3">
      <c r="A39" s="5">
        <v>37</v>
      </c>
      <c r="B39">
        <f>B38*EXP(RATES!P40)*(1-DATA!$B$6)</f>
        <v>130510.25270722402</v>
      </c>
      <c r="C39">
        <f>C38*EXP(RATES!P40)*(1-DATA!$B$6)</f>
        <v>32627.563176806005</v>
      </c>
      <c r="D39">
        <f t="shared" si="1"/>
        <v>163137.81588403002</v>
      </c>
      <c r="E39">
        <f>E38*(1-'LIFE TABLE MALE'!D99/1000)</f>
        <v>3.1217167791388403E-2</v>
      </c>
      <c r="F39">
        <f t="shared" si="2"/>
        <v>2.4462466922718223E-3</v>
      </c>
      <c r="G39">
        <f t="shared" si="0"/>
        <v>163117.81588403002</v>
      </c>
      <c r="H39">
        <f>MAX(D39,DATA!$B$3)</f>
        <v>163137.81588403002</v>
      </c>
      <c r="I39">
        <f>G39*DATA!$B$7*F38*E39</f>
        <v>2.1982014053066026</v>
      </c>
      <c r="J39">
        <f>H39*'LIFE TABLE MALE'!D99/1000*F38*E38</f>
        <v>7.3033200785431349</v>
      </c>
      <c r="K39">
        <f>0</f>
        <v>0</v>
      </c>
      <c r="L39" s="43">
        <f>DATA!$B$8*((1+DATA!$B$9)^A38)*F39*E39</f>
        <v>7.7887889828240431E-3</v>
      </c>
      <c r="M39">
        <f>B38*EXP(RATES!P40)*(DATA!$B$12)</f>
        <v>1868.2449262792804</v>
      </c>
      <c r="N39">
        <f>C38*EXP(RATES!P40)*(DATA!$B$12)</f>
        <v>467.06123156982011</v>
      </c>
      <c r="O39">
        <f t="shared" si="3"/>
        <v>2335.3061578491006</v>
      </c>
      <c r="P39">
        <f t="shared" si="4"/>
        <v>0.17833540592142846</v>
      </c>
      <c r="Q39">
        <f>RATES!H40</f>
        <v>0.26914293466709527</v>
      </c>
      <c r="R39" s="46">
        <f t="shared" si="5"/>
        <v>9.6876456787539897</v>
      </c>
      <c r="S39">
        <f t="shared" si="6"/>
        <v>2.6073613879948527</v>
      </c>
      <c r="T39">
        <f>C38*EXP(RATES!P40)*(DATA!$B$6-DATA!$B$12)</f>
        <v>266.89213232561144</v>
      </c>
      <c r="U39">
        <f>B38*EXP(RATES!P40)*(DATA!$B$6-DATA!$B$12)</f>
        <v>1067.5685293024458</v>
      </c>
      <c r="V39">
        <f t="shared" si="7"/>
        <v>1334.4606616280571</v>
      </c>
      <c r="W39">
        <f t="shared" si="8"/>
        <v>0.10190594624081623</v>
      </c>
    </row>
    <row r="40" spans="1:23" x14ac:dyDescent="0.3">
      <c r="A40" s="5">
        <v>38</v>
      </c>
      <c r="B40">
        <f>B39*EXP(RATES!P41)*(1-DATA!$B$6)</f>
        <v>132977.56682972156</v>
      </c>
      <c r="C40">
        <f>C39*EXP(RATES!P41)*(1-DATA!$B$6)</f>
        <v>33244.39170743039</v>
      </c>
      <c r="D40">
        <f t="shared" si="1"/>
        <v>166221.95853715195</v>
      </c>
      <c r="E40">
        <f>E39*(1-'LIFE TABLE MALE'!D100/1000)</f>
        <v>2.0085822836336076E-2</v>
      </c>
      <c r="F40">
        <f t="shared" si="2"/>
        <v>2.0793096884310488E-3</v>
      </c>
      <c r="G40">
        <f t="shared" si="0"/>
        <v>166201.95853715195</v>
      </c>
      <c r="H40">
        <f>MAX(D40,DATA!$B$3)</f>
        <v>166221.95853715195</v>
      </c>
      <c r="I40">
        <f>G40*DATA!$B$7*F39*E40</f>
        <v>1.2249469353088853</v>
      </c>
      <c r="J40">
        <f>H40*'LIFE TABLE MALE'!D100/1000*F39*E39</f>
        <v>4.5262265534227932</v>
      </c>
      <c r="K40">
        <f>0</f>
        <v>0</v>
      </c>
      <c r="L40" s="43">
        <f>DATA!$B$8*((1+DATA!$B$9)^A39)*F40*E40</f>
        <v>4.3449538147644472E-3</v>
      </c>
      <c r="M40">
        <f>B39*EXP(RATES!P41)*(DATA!$B$12)</f>
        <v>1903.5643513457076</v>
      </c>
      <c r="N40">
        <f>C39*EXP(RATES!P41)*(DATA!$B$12)</f>
        <v>475.89108783642689</v>
      </c>
      <c r="O40">
        <f t="shared" si="3"/>
        <v>2379.4554391821343</v>
      </c>
      <c r="P40">
        <f t="shared" si="4"/>
        <v>9.937711414661711E-2</v>
      </c>
      <c r="Q40">
        <f>RATES!H41</f>
        <v>0.2583378773095239</v>
      </c>
      <c r="R40" s="46">
        <f t="shared" si="5"/>
        <v>5.8548955566930605</v>
      </c>
      <c r="S40">
        <f t="shared" si="6"/>
        <v>1.5125412899850486</v>
      </c>
      <c r="T40">
        <f>C39*EXP(RATES!P41)*(DATA!$B$6-DATA!$B$12)</f>
        <v>271.93776447795813</v>
      </c>
      <c r="U40">
        <f>B39*EXP(RATES!P41)*(DATA!$B$6-DATA!$B$12)</f>
        <v>1087.7510579118325</v>
      </c>
      <c r="V40">
        <f t="shared" si="7"/>
        <v>1359.6888223897906</v>
      </c>
      <c r="W40">
        <f t="shared" si="8"/>
        <v>5.6786922369495473E-2</v>
      </c>
    </row>
    <row r="41" spans="1:23" x14ac:dyDescent="0.3">
      <c r="A41" s="5">
        <v>39</v>
      </c>
      <c r="B41">
        <f>B40*EXP(RATES!P42)*(1-DATA!$B$6)</f>
        <v>135479.6580903327</v>
      </c>
      <c r="C41">
        <f>C40*EXP(RATES!P42)*(1-DATA!$B$6)</f>
        <v>33869.914522583174</v>
      </c>
      <c r="D41">
        <f t="shared" si="1"/>
        <v>169349.57261291589</v>
      </c>
      <c r="E41">
        <f>E40*(1-'LIFE TABLE MALE'!D101/1000)</f>
        <v>1.2471630665793342E-2</v>
      </c>
      <c r="F41">
        <f t="shared" si="2"/>
        <v>1.7674132351663914E-3</v>
      </c>
      <c r="G41">
        <f t="shared" si="0"/>
        <v>169329.57261291589</v>
      </c>
      <c r="H41">
        <f>MAX(D41,DATA!$B$3)</f>
        <v>169349.57261291589</v>
      </c>
      <c r="I41">
        <f>G41*DATA!$B$7*F40*E41</f>
        <v>0.65866788617147742</v>
      </c>
      <c r="J41">
        <f>H41*'LIFE TABLE MALE'!D101/1000*F40*E40</f>
        <v>2.6811870656511947</v>
      </c>
      <c r="K41">
        <f>0</f>
        <v>0</v>
      </c>
      <c r="L41" s="43">
        <f>DATA!$B$8*((1+DATA!$B$9)^A40)*F41*E41</f>
        <v>2.3390412203611638E-3</v>
      </c>
      <c r="M41">
        <f>B40*EXP(RATES!P42)*(DATA!$B$12)</f>
        <v>1939.3816086550694</v>
      </c>
      <c r="N41">
        <f>C40*EXP(RATES!P42)*(DATA!$B$12)</f>
        <v>484.84540216376735</v>
      </c>
      <c r="O41">
        <f t="shared" si="3"/>
        <v>2424.2270108188368</v>
      </c>
      <c r="P41">
        <f t="shared" si="4"/>
        <v>5.3436084740933192E-2</v>
      </c>
      <c r="Q41">
        <f>RATES!H42</f>
        <v>0.24798832301889565</v>
      </c>
      <c r="R41" s="46">
        <f t="shared" si="5"/>
        <v>3.3956300777839665</v>
      </c>
      <c r="S41">
        <f t="shared" si="6"/>
        <v>0.84207660858216804</v>
      </c>
      <c r="T41">
        <f>C40*EXP(RATES!P42)*(DATA!$B$6-DATA!$B$12)</f>
        <v>277.05451552215271</v>
      </c>
      <c r="U41">
        <f>B40*EXP(RATES!P42)*(DATA!$B$6-DATA!$B$12)</f>
        <v>1108.2180620886108</v>
      </c>
      <c r="V41">
        <f t="shared" si="7"/>
        <v>1385.2725776107636</v>
      </c>
      <c r="W41">
        <f t="shared" si="8"/>
        <v>3.0534905566247529E-2</v>
      </c>
    </row>
    <row r="42" spans="1:23" x14ac:dyDescent="0.3">
      <c r="A42" s="6">
        <v>40</v>
      </c>
      <c r="B42">
        <f>B41*EXP(RATES!P43)*(1-DATA!$B$6)</f>
        <v>138066.02589893818</v>
      </c>
      <c r="C42">
        <f>C41*EXP(RATES!P43)*(1-DATA!$B$6)</f>
        <v>34516.506474734546</v>
      </c>
      <c r="D42">
        <f t="shared" si="1"/>
        <v>172582.53237367273</v>
      </c>
      <c r="E42">
        <f>E41*(1-'LIFE TABLE MALE'!D102/1000)</f>
        <v>7.4516144932450555E-3</v>
      </c>
      <c r="F42">
        <f t="shared" si="2"/>
        <v>1.5023012498914326E-3</v>
      </c>
      <c r="G42">
        <f t="shared" si="0"/>
        <v>172562.53237367273</v>
      </c>
      <c r="H42">
        <f>MAX(D42,DATA!$B$3)</f>
        <v>172582.53237367273</v>
      </c>
      <c r="I42">
        <f>G42*DATA!$B$7*F41*E42</f>
        <v>0.34089940726093154</v>
      </c>
      <c r="J42">
        <f>H42*'LIFE TABLE MALE'!D102/1000*F41*E41</f>
        <v>1.5312286854422335</v>
      </c>
      <c r="K42">
        <f>0</f>
        <v>0</v>
      </c>
      <c r="L42" s="43">
        <f>DATA!$B$8*((1+DATA!$B$9)^A41)*F42*E42</f>
        <v>1.2116693167864463E-3</v>
      </c>
      <c r="M42">
        <f>B41*EXP(RATES!P43)*(DATA!$B$12)</f>
        <v>1976.4052787169069</v>
      </c>
      <c r="N42">
        <f>C41*EXP(RATES!P43)*(DATA!$B$12)</f>
        <v>494.10131967922672</v>
      </c>
      <c r="O42">
        <f t="shared" si="3"/>
        <v>2470.5065983961335</v>
      </c>
      <c r="P42">
        <f t="shared" si="4"/>
        <v>2.765625847535989E-2</v>
      </c>
      <c r="Q42">
        <f>RATES!H43</f>
        <v>0.23798925759158665</v>
      </c>
      <c r="R42" s="46">
        <f t="shared" si="5"/>
        <v>1.9009960204953114</v>
      </c>
      <c r="S42">
        <f t="shared" si="6"/>
        <v>0.45241663160223977</v>
      </c>
      <c r="T42">
        <f>C41*EXP(RATES!P43)*(DATA!$B$6-DATA!$B$12)</f>
        <v>282.34361124527231</v>
      </c>
      <c r="U42">
        <f>B41*EXP(RATES!P43)*(DATA!$B$6-DATA!$B$12)</f>
        <v>1129.3744449810893</v>
      </c>
      <c r="V42">
        <f t="shared" si="7"/>
        <v>1411.7180562263616</v>
      </c>
      <c r="W42">
        <f t="shared" si="8"/>
        <v>1.5803576271634218E-2</v>
      </c>
    </row>
    <row r="43" spans="1:23" x14ac:dyDescent="0.3">
      <c r="A43" s="5">
        <v>41</v>
      </c>
      <c r="B43">
        <f>B42*EXP(RATES!P44)*(1-DATA!$B$6)</f>
        <v>140684.02790301217</v>
      </c>
      <c r="C43">
        <f>C42*EXP(RATES!P44)*(1-DATA!$B$6)</f>
        <v>35171.006975753044</v>
      </c>
      <c r="D43">
        <f t="shared" si="1"/>
        <v>175855.03487876523</v>
      </c>
      <c r="E43">
        <f>E42*(1-'LIFE TABLE MALE'!D103/1000)</f>
        <v>4.2161420347981409E-3</v>
      </c>
      <c r="F43">
        <f t="shared" si="2"/>
        <v>1.2769560624077175E-3</v>
      </c>
      <c r="G43">
        <f t="shared" si="0"/>
        <v>175835.03487876523</v>
      </c>
      <c r="H43">
        <f>MAX(D43,DATA!$B$3)</f>
        <v>175855.03487876523</v>
      </c>
      <c r="I43">
        <f>G43*DATA!$B$7*F42*E43</f>
        <v>0.16705863657348194</v>
      </c>
      <c r="J43">
        <f>H43*'LIFE TABLE MALE'!D103/1000*F42*E42</f>
        <v>0.85477053468074804</v>
      </c>
      <c r="K43">
        <f>0</f>
        <v>0</v>
      </c>
      <c r="L43" s="43">
        <f>DATA!$B$8*((1+DATA!$B$9)^A42)*F43*E43</f>
        <v>5.9438530280061901E-4</v>
      </c>
      <c r="M43">
        <f>B42*EXP(RATES!P44)*(DATA!$B$12)</f>
        <v>2013.8817900226693</v>
      </c>
      <c r="N43">
        <f>C42*EXP(RATES!P44)*(DATA!$B$12)</f>
        <v>503.47044750566732</v>
      </c>
      <c r="O43">
        <f t="shared" si="3"/>
        <v>2517.3522375283364</v>
      </c>
      <c r="P43">
        <f t="shared" si="4"/>
        <v>1.3552991792814927E-2</v>
      </c>
      <c r="Q43">
        <f>RATES!H44</f>
        <v>0.22842216276614175</v>
      </c>
      <c r="R43" s="46">
        <f t="shared" si="5"/>
        <v>1.0359765483498455</v>
      </c>
      <c r="S43">
        <f t="shared" si="6"/>
        <v>0.23664000374907412</v>
      </c>
      <c r="T43">
        <f>C42*EXP(RATES!P44)*(DATA!$B$6-DATA!$B$12)</f>
        <v>287.69739857466698</v>
      </c>
      <c r="U43">
        <f>B42*EXP(RATES!P44)*(DATA!$B$6-DATA!$B$12)</f>
        <v>1150.7895942986679</v>
      </c>
      <c r="V43">
        <f t="shared" si="7"/>
        <v>1438.4869928733349</v>
      </c>
      <c r="W43">
        <f t="shared" si="8"/>
        <v>7.7445667387513861E-3</v>
      </c>
    </row>
    <row r="44" spans="1:23" x14ac:dyDescent="0.3">
      <c r="A44" s="5">
        <v>42</v>
      </c>
      <c r="B44">
        <f>B43*EXP(RATES!P45)*(1-DATA!$B$6)</f>
        <v>143387.53744503914</v>
      </c>
      <c r="C44">
        <f>C43*EXP(RATES!P45)*(1-DATA!$B$6)</f>
        <v>35846.884361259785</v>
      </c>
      <c r="D44">
        <f t="shared" si="1"/>
        <v>179234.42180629892</v>
      </c>
      <c r="E44">
        <f>E43*(1-'LIFE TABLE MALE'!D104/1000)</f>
        <v>2.2139168837298946E-3</v>
      </c>
      <c r="F44">
        <f t="shared" si="2"/>
        <v>1.08541265304656E-3</v>
      </c>
      <c r="G44">
        <f t="shared" si="0"/>
        <v>179214.42180629892</v>
      </c>
      <c r="H44">
        <f>MAX(D44,DATA!$B$3)</f>
        <v>179234.42180629892</v>
      </c>
      <c r="I44">
        <f>G44*DATA!$B$7*F43*E44</f>
        <v>7.5997880609283711E-2</v>
      </c>
      <c r="J44">
        <f>H44*'LIFE TABLE MALE'!D104/1000*F43*E43</f>
        <v>0.45825824333243415</v>
      </c>
      <c r="K44">
        <f>0</f>
        <v>0</v>
      </c>
      <c r="L44" s="43">
        <f>DATA!$B$8*((1+DATA!$B$9)^A43)*F44*E44</f>
        <v>2.7060339368842708E-4</v>
      </c>
      <c r="M44">
        <f>B43*EXP(RATES!P45)*(DATA!$B$12)</f>
        <v>2052.5823356140572</v>
      </c>
      <c r="N44">
        <f>C43*EXP(RATES!P45)*(DATA!$B$12)</f>
        <v>513.14558390351431</v>
      </c>
      <c r="O44">
        <f t="shared" si="3"/>
        <v>2565.7279195175715</v>
      </c>
      <c r="P44">
        <f t="shared" si="4"/>
        <v>6.1654785672338704E-3</v>
      </c>
      <c r="Q44">
        <f>RATES!H45</f>
        <v>0.21918482444165821</v>
      </c>
      <c r="R44" s="46">
        <f t="shared" si="5"/>
        <v>0.54069220590264022</v>
      </c>
      <c r="S44">
        <f t="shared" si="6"/>
        <v>0.11851152622774311</v>
      </c>
      <c r="T44">
        <f>C43*EXP(RATES!P45)*(DATA!$B$6-DATA!$B$12)</f>
        <v>293.22604794486523</v>
      </c>
      <c r="U44">
        <f>B43*EXP(RATES!P45)*(DATA!$B$6-DATA!$B$12)</f>
        <v>1172.9041917794609</v>
      </c>
      <c r="V44">
        <f t="shared" si="7"/>
        <v>1466.1302397243262</v>
      </c>
      <c r="W44">
        <f t="shared" si="8"/>
        <v>3.5231306098479245E-3</v>
      </c>
    </row>
    <row r="45" spans="1:23" x14ac:dyDescent="0.3">
      <c r="A45" s="5">
        <v>43</v>
      </c>
      <c r="B45">
        <f>B44*EXP(RATES!P46)*(1-DATA!$B$6)</f>
        <v>146179.55662057488</v>
      </c>
      <c r="C45">
        <f>C44*EXP(RATES!P46)*(1-DATA!$B$6)</f>
        <v>36544.889155143719</v>
      </c>
      <c r="D45">
        <f t="shared" si="1"/>
        <v>182724.4457757186</v>
      </c>
      <c r="E45">
        <f>E44*(1-'LIFE TABLE MALE'!D105/1000)</f>
        <v>1.0858367228099039E-3</v>
      </c>
      <c r="F45">
        <f t="shared" si="2"/>
        <v>9.2260075508957592E-4</v>
      </c>
      <c r="G45">
        <f t="shared" si="0"/>
        <v>182704.4457757186</v>
      </c>
      <c r="H45">
        <f>MAX(D45,DATA!$B$3)</f>
        <v>182724.4457757186</v>
      </c>
      <c r="I45">
        <f>G45*DATA!$B$7*F44*E45</f>
        <v>3.2299796015959753E-2</v>
      </c>
      <c r="J45">
        <f>H45*'LIFE TABLE MALE'!D105/1000*F44*E44</f>
        <v>0.22373374635504667</v>
      </c>
      <c r="K45">
        <f>0</f>
        <v>0</v>
      </c>
      <c r="L45" s="43">
        <f>DATA!$B$8*((1+DATA!$B$9)^A44)*F45*E45</f>
        <v>1.1506826090247404E-4</v>
      </c>
      <c r="M45">
        <f>B44*EXP(RATES!P46)*(DATA!$B$12)</f>
        <v>2092.5498902740778</v>
      </c>
      <c r="N45">
        <f>C44*EXP(RATES!P46)*(DATA!$B$12)</f>
        <v>523.13747256851946</v>
      </c>
      <c r="O45">
        <f t="shared" si="3"/>
        <v>2615.6873628425974</v>
      </c>
      <c r="P45">
        <f t="shared" si="4"/>
        <v>2.620379331483957E-3</v>
      </c>
      <c r="Q45">
        <f>RATES!H46</f>
        <v>0.21026844480661172</v>
      </c>
      <c r="R45" s="46">
        <f t="shared" si="5"/>
        <v>0.25876898996339281</v>
      </c>
      <c r="S45">
        <f t="shared" si="6"/>
        <v>5.4410953083780321E-2</v>
      </c>
      <c r="T45">
        <f>C44*EXP(RATES!P46)*(DATA!$B$6-DATA!$B$12)</f>
        <v>298.93569861058251</v>
      </c>
      <c r="U45">
        <f>B44*EXP(RATES!P46)*(DATA!$B$6-DATA!$B$12)</f>
        <v>1195.74279444233</v>
      </c>
      <c r="V45">
        <f t="shared" si="7"/>
        <v>1494.6784930529125</v>
      </c>
      <c r="W45">
        <f t="shared" si="8"/>
        <v>1.4973596179908323E-3</v>
      </c>
    </row>
    <row r="46" spans="1:23" x14ac:dyDescent="0.3">
      <c r="A46" s="5">
        <v>44</v>
      </c>
      <c r="B46">
        <f>B45*EXP(RATES!P47)*(1-DATA!$B$6)</f>
        <v>148999.98139398068</v>
      </c>
      <c r="C46">
        <f>C45*EXP(RATES!P47)*(1-DATA!$B$6)</f>
        <v>37249.995348495169</v>
      </c>
      <c r="D46">
        <f t="shared" si="1"/>
        <v>186249.97674247585</v>
      </c>
      <c r="E46">
        <f>E45*(1-'LIFE TABLE MALE'!D106/1000)</f>
        <v>4.9467420147581884E-4</v>
      </c>
      <c r="F46">
        <f t="shared" si="2"/>
        <v>7.8421064182613946E-4</v>
      </c>
      <c r="G46">
        <f t="shared" si="0"/>
        <v>186229.97674247585</v>
      </c>
      <c r="H46">
        <f>MAX(D46,DATA!$B$3)</f>
        <v>186249.97674247585</v>
      </c>
      <c r="I46">
        <f>G46*DATA!$B$7*F45*E46</f>
        <v>1.274893524351061E-2</v>
      </c>
      <c r="J46">
        <f>H46*'LIFE TABLE MALE'!D106/1000*F45*E45</f>
        <v>0.10158203893513276</v>
      </c>
      <c r="K46">
        <f>0</f>
        <v>0</v>
      </c>
      <c r="L46" s="43">
        <f>DATA!$B$8*((1+DATA!$B$9)^A45)*F46*E46</f>
        <v>4.5449528580294977E-5</v>
      </c>
      <c r="M46">
        <f>B45*EXP(RATES!P47)*(DATA!$B$12)</f>
        <v>2132.9240690344882</v>
      </c>
      <c r="N46">
        <f>C45*EXP(RATES!P47)*(DATA!$B$12)</f>
        <v>533.23101725862205</v>
      </c>
      <c r="O46">
        <f t="shared" si="3"/>
        <v>2666.1550862931103</v>
      </c>
      <c r="P46">
        <f t="shared" si="4"/>
        <v>1.0342782713445378E-3</v>
      </c>
      <c r="Q46">
        <f>RATES!H47</f>
        <v>0.2017499257057887</v>
      </c>
      <c r="R46" s="46">
        <f t="shared" si="5"/>
        <v>0.1154107019785682</v>
      </c>
      <c r="S46">
        <f t="shared" si="6"/>
        <v>2.3284100549829056E-2</v>
      </c>
      <c r="T46">
        <f>C45*EXP(RATES!P47)*(DATA!$B$6-DATA!$B$12)</f>
        <v>304.70343843349826</v>
      </c>
      <c r="U46">
        <f>B45*EXP(RATES!P47)*(DATA!$B$6-DATA!$B$12)</f>
        <v>1218.8137537339931</v>
      </c>
      <c r="V46">
        <f t="shared" si="7"/>
        <v>1523.5171921674914</v>
      </c>
      <c r="W46">
        <f t="shared" si="8"/>
        <v>5.9101615505402147E-4</v>
      </c>
    </row>
    <row r="47" spans="1:23" x14ac:dyDescent="0.3">
      <c r="A47" s="6">
        <v>45</v>
      </c>
      <c r="B47">
        <f>B46*EXP(RATES!P48)*(1-DATA!$B$6)</f>
        <v>151909.88645152887</v>
      </c>
      <c r="C47">
        <f>C46*EXP(RATES!P48)*(1-DATA!$B$6)</f>
        <v>37977.471612882218</v>
      </c>
      <c r="D47">
        <f t="shared" si="1"/>
        <v>189887.35806441109</v>
      </c>
      <c r="E47">
        <f>E46*(1-'LIFE TABLE MALE'!D107/1000)</f>
        <v>2.0813801883623825E-4</v>
      </c>
      <c r="F47">
        <f t="shared" si="2"/>
        <v>6.6657904555221851E-4</v>
      </c>
      <c r="G47">
        <f t="shared" si="0"/>
        <v>189867.35806441109</v>
      </c>
      <c r="H47">
        <f>MAX(D47,DATA!$B$3)</f>
        <v>189887.35806441109</v>
      </c>
      <c r="I47">
        <f>G47*DATA!$B$7*F46*E47</f>
        <v>4.6486378531137764E-3</v>
      </c>
      <c r="J47">
        <f>H47*'LIFE TABLE MALE'!D107/1000*F46*E46</f>
        <v>4.2668586326884625E-2</v>
      </c>
      <c r="K47">
        <f>0</f>
        <v>0</v>
      </c>
      <c r="L47" s="43">
        <f>DATA!$B$8*((1+DATA!$B$9)^A46)*F47*E47</f>
        <v>1.6579851462075104E-5</v>
      </c>
      <c r="M47">
        <f>B46*EXP(RATES!P48)*(DATA!$B$12)</f>
        <v>2174.5791516578779</v>
      </c>
      <c r="N47">
        <f>C46*EXP(RATES!P48)*(DATA!$B$12)</f>
        <v>543.64478791446948</v>
      </c>
      <c r="O47">
        <f t="shared" si="3"/>
        <v>2718.2239395723473</v>
      </c>
      <c r="P47">
        <f t="shared" si="4"/>
        <v>3.7712759066540818E-4</v>
      </c>
      <c r="Q47">
        <f>RATES!H48</f>
        <v>0.19353183449254577</v>
      </c>
      <c r="R47" s="46">
        <f t="shared" si="5"/>
        <v>4.7710931622125884E-2</v>
      </c>
      <c r="S47">
        <f t="shared" si="6"/>
        <v>9.2335841221784353E-3</v>
      </c>
      <c r="T47">
        <f>C46*EXP(RATES!P48)*(DATA!$B$6-DATA!$B$12)</f>
        <v>310.65416452255391</v>
      </c>
      <c r="U47">
        <f>B46*EXP(RATES!P48)*(DATA!$B$6-DATA!$B$12)</f>
        <v>1242.6166580902157</v>
      </c>
      <c r="V47">
        <f t="shared" si="7"/>
        <v>1553.2708226127695</v>
      </c>
      <c r="W47">
        <f t="shared" si="8"/>
        <v>2.155014803802332E-4</v>
      </c>
    </row>
    <row r="48" spans="1:23" x14ac:dyDescent="0.3">
      <c r="A48" s="5">
        <v>46</v>
      </c>
      <c r="B48">
        <f>B47*EXP(RATES!P49)*(1-DATA!$B$6)</f>
        <v>154843.6867590443</v>
      </c>
      <c r="C48">
        <f>C47*EXP(RATES!P49)*(1-DATA!$B$6)</f>
        <v>38710.921689761075</v>
      </c>
      <c r="D48">
        <f t="shared" si="1"/>
        <v>193554.60844880537</v>
      </c>
      <c r="E48">
        <f>E47*(1-'LIFE TABLE MALE'!D108/1000)</f>
        <v>8.0415959354706781E-5</v>
      </c>
      <c r="F48">
        <f t="shared" si="2"/>
        <v>5.665921887193857E-4</v>
      </c>
      <c r="G48">
        <f t="shared" si="0"/>
        <v>193534.60844880537</v>
      </c>
      <c r="H48">
        <f>MAX(D48,DATA!$B$3)</f>
        <v>193554.60844880537</v>
      </c>
      <c r="I48">
        <f>G48*DATA!$B$7*F47*E48</f>
        <v>1.5561225699996834E-3</v>
      </c>
      <c r="J48">
        <f>H48*'LIFE TABLE MALE'!D108/1000*F47*E47</f>
        <v>1.6478629376982072E-2</v>
      </c>
      <c r="K48">
        <f>0</f>
        <v>0</v>
      </c>
      <c r="L48" s="43">
        <f>DATA!$B$8*((1+DATA!$B$9)^A47)*F48*E48</f>
        <v>5.5538041910564841E-6</v>
      </c>
      <c r="M48">
        <f>B47*EXP(RATES!P49)*(DATA!$B$12)</f>
        <v>2216.576293074254</v>
      </c>
      <c r="N48">
        <f>C47*EXP(RATES!P49)*(DATA!$B$12)</f>
        <v>554.14407326856349</v>
      </c>
      <c r="O48">
        <f t="shared" si="3"/>
        <v>2770.7203663428172</v>
      </c>
      <c r="P48">
        <f t="shared" si="4"/>
        <v>1.2624248283082357E-4</v>
      </c>
      <c r="Q48">
        <f>RATES!H49</f>
        <v>0.18568798525965011</v>
      </c>
      <c r="R48" s="46">
        <f t="shared" si="5"/>
        <v>1.8166548234003634E-2</v>
      </c>
      <c r="S48">
        <f t="shared" si="6"/>
        <v>3.3733097406943892E-3</v>
      </c>
      <c r="T48">
        <f>C47*EXP(RATES!P49)*(DATA!$B$6-DATA!$B$12)</f>
        <v>316.65375615346477</v>
      </c>
      <c r="U48">
        <f>B47*EXP(RATES!P49)*(DATA!$B$6-DATA!$B$12)</f>
        <v>1266.6150246138591</v>
      </c>
      <c r="V48">
        <f t="shared" si="7"/>
        <v>1583.2687807673237</v>
      </c>
      <c r="W48">
        <f t="shared" si="8"/>
        <v>7.2138561617613451E-5</v>
      </c>
    </row>
    <row r="49" spans="1:23" x14ac:dyDescent="0.3">
      <c r="A49" s="5">
        <v>47</v>
      </c>
      <c r="B49">
        <f>B48*EXP(RATES!P50)*(1-DATA!$B$6)</f>
        <v>157867.54429742033</v>
      </c>
      <c r="C49">
        <f>C48*EXP(RATES!P50)*(1-DATA!$B$6)</f>
        <v>39466.886074355083</v>
      </c>
      <c r="D49">
        <f t="shared" si="1"/>
        <v>197334.43037177541</v>
      </c>
      <c r="E49">
        <f>E48*(1-'LIFE TABLE MALE'!D109/1000)</f>
        <v>2.836260995277507E-5</v>
      </c>
      <c r="F49">
        <f t="shared" si="2"/>
        <v>4.8160336041147783E-4</v>
      </c>
      <c r="G49">
        <f t="shared" si="0"/>
        <v>197314.43037177541</v>
      </c>
      <c r="H49">
        <f>MAX(D49,DATA!$B$3)</f>
        <v>197334.43037177541</v>
      </c>
      <c r="I49">
        <f>G49*DATA!$B$7*F48*E49</f>
        <v>4.7562741854462041E-4</v>
      </c>
      <c r="J49">
        <f>H49*'LIFE TABLE MALE'!D109/1000*F48*E48</f>
        <v>5.8199885320935688E-3</v>
      </c>
      <c r="K49">
        <f>0</f>
        <v>0</v>
      </c>
      <c r="L49" s="43">
        <f>DATA!$B$8*((1+DATA!$B$9)^A48)*F49*E49</f>
        <v>1.6982968593746063E-6</v>
      </c>
      <c r="M49">
        <f>B48*EXP(RATES!P50)*(DATA!$B$12)</f>
        <v>2259.8625973045855</v>
      </c>
      <c r="N49">
        <f>C48*EXP(RATES!P50)*(DATA!$B$12)</f>
        <v>564.96564932614638</v>
      </c>
      <c r="O49">
        <f t="shared" si="3"/>
        <v>2824.8282466307319</v>
      </c>
      <c r="P49">
        <f t="shared" si="4"/>
        <v>3.8585821273810776E-5</v>
      </c>
      <c r="Q49">
        <f>RATES!H50</f>
        <v>0.17812435659699183</v>
      </c>
      <c r="R49" s="46">
        <f t="shared" si="5"/>
        <v>6.3359000687713742E-3</v>
      </c>
      <c r="S49">
        <f t="shared" si="6"/>
        <v>1.1285781232127374E-3</v>
      </c>
      <c r="T49">
        <f>C48*EXP(RATES!P50)*(DATA!$B$6-DATA!$B$12)</f>
        <v>322.83751390065504</v>
      </c>
      <c r="U49">
        <f>B48*EXP(RATES!P50)*(DATA!$B$6-DATA!$B$12)</f>
        <v>1291.3500556026202</v>
      </c>
      <c r="V49">
        <f t="shared" si="7"/>
        <v>1614.1875695032752</v>
      </c>
      <c r="W49">
        <f t="shared" si="8"/>
        <v>2.2049040727891873E-5</v>
      </c>
    </row>
    <row r="50" spans="1:23" x14ac:dyDescent="0.3">
      <c r="A50" s="5">
        <v>48</v>
      </c>
      <c r="B50">
        <f>B49*EXP(RATES!P51)*(1-DATA!$B$6)</f>
        <v>160984.50451319339</v>
      </c>
      <c r="C50">
        <f>C49*EXP(RATES!P51)*(1-DATA!$B$6)</f>
        <v>40246.126128298347</v>
      </c>
      <c r="D50">
        <f t="shared" si="1"/>
        <v>201230.63064149173</v>
      </c>
      <c r="E50">
        <f>E49*(1-'LIFE TABLE MALE'!D110/1000)</f>
        <v>9.0786411414904827E-6</v>
      </c>
      <c r="F50">
        <f t="shared" si="2"/>
        <v>4.0936285634975616E-4</v>
      </c>
      <c r="G50">
        <f t="shared" si="0"/>
        <v>201210.63064149173</v>
      </c>
      <c r="H50">
        <f>MAX(D50,DATA!$B$3)</f>
        <v>201230.63064149173</v>
      </c>
      <c r="I50">
        <f>G50*DATA!$B$7*F49*E50</f>
        <v>1.3196310924563727E-4</v>
      </c>
      <c r="J50">
        <f>H50*'LIFE TABLE MALE'!D110/1000*F49*E49</f>
        <v>1.8688739789692193E-3</v>
      </c>
      <c r="K50">
        <f>0</f>
        <v>0</v>
      </c>
      <c r="L50" s="43">
        <f>DATA!$B$8*((1+DATA!$B$9)^A49)*F50*E50</f>
        <v>4.7131076692477652E-7</v>
      </c>
      <c r="M50">
        <f>B49*EXP(RATES!P51)*(DATA!$B$12)</f>
        <v>2304.481659698065</v>
      </c>
      <c r="N50">
        <f>C49*EXP(RATES!P51)*(DATA!$B$12)</f>
        <v>576.12041492451624</v>
      </c>
      <c r="O50">
        <f t="shared" si="3"/>
        <v>2880.6020746225813</v>
      </c>
      <c r="P50">
        <f t="shared" si="4"/>
        <v>1.0705637977360607E-5</v>
      </c>
      <c r="Q50">
        <f>RATES!H51</f>
        <v>0.17083267507059779</v>
      </c>
      <c r="R50" s="46">
        <f t="shared" si="5"/>
        <v>2.0120140369591418E-3</v>
      </c>
      <c r="S50">
        <f t="shared" si="6"/>
        <v>3.4371774021332282E-4</v>
      </c>
      <c r="T50">
        <f>C49*EXP(RATES!P51)*(DATA!$B$6-DATA!$B$12)</f>
        <v>329.21166567115205</v>
      </c>
      <c r="U50">
        <f>B49*EXP(RATES!P51)*(DATA!$B$6-DATA!$B$12)</f>
        <v>1316.8466626846082</v>
      </c>
      <c r="V50">
        <f t="shared" si="7"/>
        <v>1646.0583283557603</v>
      </c>
      <c r="W50">
        <f t="shared" si="8"/>
        <v>6.1175074156346299E-6</v>
      </c>
    </row>
    <row r="51" spans="1:23" x14ac:dyDescent="0.3">
      <c r="A51" s="5">
        <v>49</v>
      </c>
      <c r="B51">
        <f>B50*EXP(RATES!P52)*(1-DATA!$B$6)</f>
        <v>164120.20936243565</v>
      </c>
      <c r="C51">
        <f>C50*EXP(RATES!P52)*(1-DATA!$B$6)</f>
        <v>41030.052340608912</v>
      </c>
      <c r="D51">
        <f t="shared" si="1"/>
        <v>205150.26170304455</v>
      </c>
      <c r="E51">
        <f>E50*(1-'LIFE TABLE MALE'!D111/1000)</f>
        <v>2.622101305262309E-6</v>
      </c>
      <c r="F51">
        <f t="shared" si="2"/>
        <v>3.4795842789729273E-4</v>
      </c>
      <c r="G51">
        <f t="shared" si="0"/>
        <v>205130.26170304455</v>
      </c>
      <c r="H51">
        <f>MAX(D51,DATA!$B$3)</f>
        <v>205150.26170304455</v>
      </c>
      <c r="I51">
        <f>G51*DATA!$B$7*F50*E51</f>
        <v>3.3027742817396962E-5</v>
      </c>
      <c r="J51">
        <f>H51*'LIFE TABLE MALE'!D111/1000*F50*E50</f>
        <v>5.4222600768360151E-4</v>
      </c>
      <c r="K51">
        <f>0</f>
        <v>0</v>
      </c>
      <c r="L51" s="43">
        <f>DATA!$B$8*((1+DATA!$B$9)^A50)*F51*E51</f>
        <v>1.1801985469847796E-7</v>
      </c>
      <c r="M51">
        <f>B50*EXP(RATES!P52)*(DATA!$B$12)</f>
        <v>2349.3690501780156</v>
      </c>
      <c r="N51">
        <f>C50*EXP(RATES!P52)*(DATA!$B$12)</f>
        <v>587.34226254450391</v>
      </c>
      <c r="O51">
        <f t="shared" si="3"/>
        <v>2936.7113127225193</v>
      </c>
      <c r="P51">
        <f t="shared" si="4"/>
        <v>2.6794032691304596E-6</v>
      </c>
      <c r="Q51">
        <f>RATES!H52</f>
        <v>0.16388220900563755</v>
      </c>
      <c r="R51" s="46">
        <f t="shared" si="5"/>
        <v>5.780511736248274E-4</v>
      </c>
      <c r="S51">
        <f t="shared" si="6"/>
        <v>9.4732303251938047E-5</v>
      </c>
      <c r="T51">
        <f>C50*EXP(RATES!P52)*(DATA!$B$6-DATA!$B$12)</f>
        <v>335.62415002543071</v>
      </c>
      <c r="U51">
        <f>B50*EXP(RATES!P52)*(DATA!$B$6-DATA!$B$12)</f>
        <v>1342.4966001017228</v>
      </c>
      <c r="V51">
        <f t="shared" si="7"/>
        <v>1678.1207501271535</v>
      </c>
      <c r="W51">
        <f t="shared" si="8"/>
        <v>1.5310875823602621E-6</v>
      </c>
    </row>
    <row r="52" spans="1:23" x14ac:dyDescent="0.3">
      <c r="A52" s="6">
        <v>50</v>
      </c>
      <c r="B52">
        <f>B51*EXP(RATES!P53)*(1-DATA!$B$6)</f>
        <v>167429.82383018101</v>
      </c>
      <c r="C52">
        <f>C51*EXP(RATES!P53)*(1-DATA!$B$6)</f>
        <v>41857.455957545251</v>
      </c>
      <c r="D52">
        <f t="shared" si="1"/>
        <v>209287.27978772626</v>
      </c>
      <c r="E52">
        <f>E51*(1-'LIFE TABLE MALE'!D112/1000)</f>
        <v>6.794887101443695E-7</v>
      </c>
      <c r="F52">
        <f t="shared" si="2"/>
        <v>2.957646637126988E-4</v>
      </c>
      <c r="G52">
        <f t="shared" si="0"/>
        <v>209267.27978772626</v>
      </c>
      <c r="H52">
        <f>MAX(D52,DATA!$B$3)</f>
        <v>209287.27978772626</v>
      </c>
      <c r="I52">
        <f>G52*DATA!$B$7*F51*E52</f>
        <v>7.4216794595218195E-6</v>
      </c>
      <c r="J52">
        <f>H52*'LIFE TABLE MALE'!D112/1000*F51*E51</f>
        <v>1.414674070635762E-4</v>
      </c>
      <c r="K52">
        <f>E52*D52*F52</f>
        <v>4.2060202978954026E-5</v>
      </c>
      <c r="L52" s="43">
        <f>DATA!$B$8*((1+DATA!$B$9)^A51)*F52*E52</f>
        <v>2.6515935358856599E-8</v>
      </c>
      <c r="M52">
        <f>B51*EXP(RATES!P53)*(DATA!$B$12)</f>
        <v>2396.7459443993193</v>
      </c>
      <c r="N52">
        <f>C51*EXP(RATES!P53)*(DATA!$B$12)</f>
        <v>599.18648609982984</v>
      </c>
      <c r="O52">
        <f t="shared" si="3"/>
        <v>2995.9324304991492</v>
      </c>
      <c r="P52">
        <f t="shared" si="4"/>
        <v>6.0208879519975084E-7</v>
      </c>
      <c r="Q52">
        <f>RATES!H53</f>
        <v>0.1571085809987022</v>
      </c>
      <c r="R52" s="46">
        <f t="shared" si="5"/>
        <v>1.9157789423261066E-4</v>
      </c>
      <c r="S52">
        <f t="shared" si="6"/>
        <v>3.0098531113604914E-5</v>
      </c>
      <c r="T52">
        <f>C51*EXP(RATES!P53)*(DATA!$B$6-DATA!$B$12)</f>
        <v>342.39227777133124</v>
      </c>
      <c r="U52">
        <f>B51*EXP(RATES!P53)*(DATA!$B$6-DATA!$B$12)</f>
        <v>1369.5691110853249</v>
      </c>
      <c r="V52">
        <f>T52+U52</f>
        <v>1711.9613888566562</v>
      </c>
      <c r="W52">
        <f t="shared" si="8"/>
        <v>3.4405074011414325E-7</v>
      </c>
    </row>
    <row r="56" spans="1:23" x14ac:dyDescent="0.3">
      <c r="P56" s="52" t="s">
        <v>56</v>
      </c>
      <c r="Q56" s="47">
        <f>SUM(S3:S52)</f>
        <v>94477.93037829292</v>
      </c>
      <c r="T56" s="56" t="s">
        <v>59</v>
      </c>
    </row>
    <row r="57" spans="1:23" x14ac:dyDescent="0.3">
      <c r="P57" s="54" t="s">
        <v>57</v>
      </c>
      <c r="Q57" s="48">
        <f>DATA!B2-Q56</f>
        <v>5522.0696217070799</v>
      </c>
      <c r="T57" s="52" t="s">
        <v>60</v>
      </c>
      <c r="U57" s="47">
        <f>SUMPRODUCT(J3:J52,Q3:Q52)</f>
        <v>6428.6259520095391</v>
      </c>
    </row>
    <row r="58" spans="1:23" x14ac:dyDescent="0.3">
      <c r="T58" s="53" t="s">
        <v>61</v>
      </c>
      <c r="U58" s="50">
        <f>SUMPRODUCT(I3:I52,Q3:Q52)</f>
        <v>81228.124369174533</v>
      </c>
    </row>
    <row r="59" spans="1:23" x14ac:dyDescent="0.3">
      <c r="P59" s="55" t="s">
        <v>58</v>
      </c>
      <c r="Q59" s="49">
        <f>SUMPRODUCT(S3:S52,A3:A52)/SUM(S3:S52)</f>
        <v>5.6125886697966862</v>
      </c>
      <c r="T59" s="53" t="s">
        <v>47</v>
      </c>
      <c r="U59" s="51">
        <f>SUMPRODUCT(L3:L52,Q3:Q52)</f>
        <v>230.91047372901266</v>
      </c>
    </row>
    <row r="60" spans="1:23" x14ac:dyDescent="0.3">
      <c r="T60" s="54" t="s">
        <v>48</v>
      </c>
      <c r="U60" s="48">
        <f>SUMPRODUCT(P3:P52,Q3:Q52)</f>
        <v>6590.2695767718506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8D24A-5E9C-440C-A9AC-76A97E74C373}">
  <dimension ref="A1:W60"/>
  <sheetViews>
    <sheetView topLeftCell="N1" workbookViewId="0">
      <selection activeCell="L3" sqref="L3"/>
    </sheetView>
  </sheetViews>
  <sheetFormatPr defaultColWidth="8.796875" defaultRowHeight="15.6" x14ac:dyDescent="0.3"/>
  <cols>
    <col min="3" max="4" width="11.796875" bestFit="1" customWidth="1"/>
    <col min="5" max="5" width="14" bestFit="1" customWidth="1"/>
    <col min="6" max="6" width="14.5" bestFit="1" customWidth="1"/>
    <col min="7" max="7" width="11.796875" bestFit="1" customWidth="1"/>
    <col min="8" max="8" width="7.69921875" bestFit="1" customWidth="1"/>
    <col min="9" max="11" width="11.796875" bestFit="1" customWidth="1"/>
    <col min="12" max="12" width="9.296875" bestFit="1" customWidth="1"/>
    <col min="13" max="13" width="15.69921875" bestFit="1" customWidth="1"/>
    <col min="14" max="14" width="16" bestFit="1" customWidth="1"/>
    <col min="15" max="15" width="16.796875" bestFit="1" customWidth="1"/>
    <col min="16" max="16" width="17.19921875" bestFit="1" customWidth="1"/>
    <col min="18" max="18" width="9.296875" bestFit="1" customWidth="1"/>
    <col min="19" max="19" width="12.5" bestFit="1" customWidth="1"/>
    <col min="20" max="20" width="16.69921875" bestFit="1" customWidth="1"/>
    <col min="22" max="23" width="11.796875" bestFit="1" customWidth="1"/>
  </cols>
  <sheetData>
    <row r="1" spans="1:23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</row>
    <row r="2" spans="1:23" x14ac:dyDescent="0.3">
      <c r="A2" s="41">
        <v>0</v>
      </c>
      <c r="B2">
        <f>DATA!B2*0.8</f>
        <v>80000</v>
      </c>
      <c r="C2">
        <f>DATA!B2*0.2</f>
        <v>20000</v>
      </c>
      <c r="D2">
        <f>B2+C2</f>
        <v>100000</v>
      </c>
      <c r="E2">
        <f>1</f>
        <v>1</v>
      </c>
      <c r="F2">
        <f>1</f>
        <v>1</v>
      </c>
      <c r="G2">
        <f>D2-20</f>
        <v>99980</v>
      </c>
      <c r="H2">
        <f>MAX(D2,DATA!$B$3)</f>
        <v>100000</v>
      </c>
      <c r="M2">
        <f>B2</f>
        <v>80000</v>
      </c>
      <c r="N2">
        <f>C2</f>
        <v>20000</v>
      </c>
      <c r="Q2">
        <f>RATES!G3</f>
        <v>1</v>
      </c>
    </row>
    <row r="3" spans="1:23" x14ac:dyDescent="0.3">
      <c r="A3" s="5">
        <v>1</v>
      </c>
      <c r="B3">
        <f>B2*EXP(RATES!Q4)*(1-DATA!$B$6)</f>
        <v>78927.729600000006</v>
      </c>
      <c r="C3">
        <f>C2*EXP(RATES!Q4)*(1-DATA!$B$6)</f>
        <v>19731.932400000002</v>
      </c>
      <c r="D3">
        <f>B3+C3</f>
        <v>98659.662000000011</v>
      </c>
      <c r="E3">
        <f>E2*(1-'LIFE TABLE MALE'!D63/1000)</f>
        <v>0.99353212999999996</v>
      </c>
      <c r="F3">
        <f>F2*(1-0.15)</f>
        <v>0.85</v>
      </c>
      <c r="G3">
        <f t="shared" ref="G3:G52" si="0">D3-20</f>
        <v>98639.662000000011</v>
      </c>
      <c r="H3">
        <f>MAX(D3,DATA!$B$3)</f>
        <v>100000</v>
      </c>
      <c r="I3">
        <f>G3*DATA!$B$7*F2*E3</f>
        <v>14700.251023401008</v>
      </c>
      <c r="J3">
        <f>H3*'LIFE TABLE MALE'!D63/1000*F2*E2</f>
        <v>646.78700000000003</v>
      </c>
      <c r="K3">
        <f>0</f>
        <v>0</v>
      </c>
      <c r="L3" s="43">
        <f>DATA!$B$8*((1+DATA!$B$9)^A2)*F3*E3</f>
        <v>42.225115525</v>
      </c>
      <c r="M3">
        <f>B2*EXP(RATES!Q4)*(DATA!$B$12)</f>
        <v>1129.8448000000001</v>
      </c>
      <c r="N3">
        <f>C2*EXP(RATES!Q4)*(DATA!$B$12)</f>
        <v>282.46120000000002</v>
      </c>
      <c r="O3">
        <f>M3+N3</f>
        <v>1412.306</v>
      </c>
      <c r="P3">
        <f>O3*E3*F3</f>
        <v>1192.695680133013</v>
      </c>
      <c r="Q3">
        <f>RATES!I4</f>
        <v>0.99128659086628523</v>
      </c>
      <c r="R3" s="43">
        <f>P3+L3+K3+J3+I3</f>
        <v>16581.958819059022</v>
      </c>
      <c r="S3">
        <f>R3*Q3</f>
        <v>16437.47342763015</v>
      </c>
      <c r="T3">
        <f>C2*EXP(RATES!Q4)*(DATA!$B$6-DATA!$B$12)</f>
        <v>161.40639999999999</v>
      </c>
      <c r="U3">
        <f>B2*EXP(RATES!Q4)*(DATA!$B$6-DATA!$B$12)</f>
        <v>645.62559999999996</v>
      </c>
      <c r="V3">
        <f>T3+U3</f>
        <v>807.03199999999993</v>
      </c>
      <c r="W3">
        <f>V3*E3*F3</f>
        <v>681.54038864743586</v>
      </c>
    </row>
    <row r="4" spans="1:23" x14ac:dyDescent="0.3">
      <c r="A4" s="5">
        <v>2</v>
      </c>
      <c r="B4">
        <f>B3*EXP(RATES!Q5)*(1-DATA!$B$6)</f>
        <v>78152.607730723976</v>
      </c>
      <c r="C4">
        <f>C3*EXP(RATES!Q5)*(1-DATA!$B$6)</f>
        <v>19538.151932680994</v>
      </c>
      <c r="D4">
        <f t="shared" ref="D4:D52" si="1">B4+C4</f>
        <v>97690.75966340497</v>
      </c>
      <c r="E4">
        <f>E3*(1-'LIFE TABLE MALE'!D64/1000)</f>
        <v>0.98647779355864618</v>
      </c>
      <c r="F4">
        <f t="shared" ref="F4:F52" si="2">F3*(1-0.15)</f>
        <v>0.72249999999999992</v>
      </c>
      <c r="G4">
        <f t="shared" si="0"/>
        <v>97670.75966340497</v>
      </c>
      <c r="H4">
        <f>MAX(D4,DATA!$B$3)</f>
        <v>100000</v>
      </c>
      <c r="I4">
        <f>G4*DATA!$B$7*F3*E4</f>
        <v>12284.62952471395</v>
      </c>
      <c r="J4">
        <f>H4*'LIFE TABLE MALE'!D64/1000*F3*E3</f>
        <v>599.61859751507291</v>
      </c>
      <c r="K4">
        <f>0</f>
        <v>0</v>
      </c>
      <c r="L4" s="43">
        <f>DATA!$B$8*((1+DATA!$B$9)^A3)*F4*E4</f>
        <v>36.349240498152213</v>
      </c>
      <c r="M4">
        <f>B3*EXP(RATES!Q5)*(DATA!$B$12)</f>
        <v>1118.748985920384</v>
      </c>
      <c r="N4">
        <f>C3*EXP(RATES!Q5)*(DATA!$B$12)</f>
        <v>279.68724648009601</v>
      </c>
      <c r="O4">
        <f t="shared" ref="O4:O52" si="3">M4+N4</f>
        <v>1398.4362324004801</v>
      </c>
      <c r="P4">
        <f t="shared" ref="P4:P52" si="4">O4*E4*F4</f>
        <v>996.70774378146916</v>
      </c>
      <c r="Q4">
        <f>RATES!I5</f>
        <v>0.97909362491967555</v>
      </c>
      <c r="R4" s="43">
        <f t="shared" ref="R4:R52" si="5">P4+L4+K4+J4+I4</f>
        <v>13917.305106508644</v>
      </c>
      <c r="S4">
        <f t="shared" ref="S4:S52" si="6">R4*Q4</f>
        <v>13626.34470584466</v>
      </c>
      <c r="T4">
        <f>C3*EXP(RATES!Q5)*(DATA!$B$6-DATA!$B$12)</f>
        <v>159.82128370291198</v>
      </c>
      <c r="U4">
        <f>B3*EXP(RATES!Q5)*(DATA!$B$6-DATA!$B$12)</f>
        <v>639.28513481164794</v>
      </c>
      <c r="V4">
        <f t="shared" ref="V4:V51" si="7">T4+U4</f>
        <v>799.10641851455989</v>
      </c>
      <c r="W4">
        <f t="shared" ref="W4:W52" si="8">V4*E4*F4</f>
        <v>569.54728216083936</v>
      </c>
    </row>
    <row r="5" spans="1:23" x14ac:dyDescent="0.3">
      <c r="A5" s="5">
        <v>3</v>
      </c>
      <c r="B5">
        <f>B4*EXP(RATES!Q6)*(1-DATA!$B$6)</f>
        <v>77619.333222346802</v>
      </c>
      <c r="C5">
        <f>C4*EXP(RATES!Q6)*(1-DATA!$B$6)</f>
        <v>19404.833305586701</v>
      </c>
      <c r="D5">
        <f t="shared" si="1"/>
        <v>97024.166527933499</v>
      </c>
      <c r="E5">
        <f>E4*(1-'LIFE TABLE MALE'!D65/1000)</f>
        <v>0.97876837095420599</v>
      </c>
      <c r="F5">
        <f t="shared" si="2"/>
        <v>0.61412499999999992</v>
      </c>
      <c r="G5">
        <f t="shared" si="0"/>
        <v>97004.166527933499</v>
      </c>
      <c r="H5">
        <f>MAX(D5,DATA!$B$3)</f>
        <v>100000</v>
      </c>
      <c r="I5">
        <f>G5*DATA!$B$7*F4*E5</f>
        <v>10289.622113986245</v>
      </c>
      <c r="J5">
        <f>H5*'LIFE TABLE MALE'!D65/1000*F4*E4</f>
        <v>557.0057831708026</v>
      </c>
      <c r="K5">
        <f>0</f>
        <v>0</v>
      </c>
      <c r="L5" s="43">
        <f>DATA!$B$8*((1+DATA!$B$9)^A4)*F5*E5</f>
        <v>31.268500264753332</v>
      </c>
      <c r="M5">
        <f>B4*EXP(RATES!Q6)*(DATA!$B$12)</f>
        <v>1111.115199501897</v>
      </c>
      <c r="N5">
        <f>C4*EXP(RATES!Q6)*(DATA!$B$12)</f>
        <v>277.77879987547425</v>
      </c>
      <c r="O5">
        <f t="shared" si="3"/>
        <v>1388.8939993773713</v>
      </c>
      <c r="P5">
        <f t="shared" si="4"/>
        <v>834.84491324962801</v>
      </c>
      <c r="Q5">
        <f>RATES!I6</f>
        <v>0.96413232442525942</v>
      </c>
      <c r="R5" s="43">
        <f t="shared" si="5"/>
        <v>11712.741310671428</v>
      </c>
      <c r="S5">
        <f t="shared" si="6"/>
        <v>11292.632505249403</v>
      </c>
      <c r="T5">
        <f>C4*EXP(RATES!Q6)*(DATA!$B$6-DATA!$B$12)</f>
        <v>158.73074278598526</v>
      </c>
      <c r="U5">
        <f>B4*EXP(RATES!Q6)*(DATA!$B$6-DATA!$B$12)</f>
        <v>634.92297114394103</v>
      </c>
      <c r="V5">
        <f t="shared" si="7"/>
        <v>793.65371392992631</v>
      </c>
      <c r="W5">
        <f t="shared" si="8"/>
        <v>477.05423614264447</v>
      </c>
    </row>
    <row r="6" spans="1:23" x14ac:dyDescent="0.3">
      <c r="A6" s="5">
        <v>4</v>
      </c>
      <c r="B6">
        <f>B5*EXP(RATES!Q7)*(1-DATA!$B$6)</f>
        <v>77127.452164108778</v>
      </c>
      <c r="C6">
        <f>C5*EXP(RATES!Q7)*(1-DATA!$B$6)</f>
        <v>19281.863041027194</v>
      </c>
      <c r="D6">
        <f t="shared" si="1"/>
        <v>96409.315205135965</v>
      </c>
      <c r="E6">
        <f>E5*(1-'LIFE TABLE MALE'!D66/1000)</f>
        <v>0.97028747025977602</v>
      </c>
      <c r="F6">
        <f t="shared" si="2"/>
        <v>0.52200624999999989</v>
      </c>
      <c r="G6">
        <f t="shared" si="0"/>
        <v>96389.315205135965</v>
      </c>
      <c r="H6">
        <f>MAX(D6,DATA!$B$3)</f>
        <v>100000</v>
      </c>
      <c r="I6">
        <f>G6*DATA!$B$7*F5*E6</f>
        <v>8615.4378572588867</v>
      </c>
      <c r="J6">
        <f>H6*'LIFE TABLE MALE'!D66/1000*F5*E5</f>
        <v>520.83331389668047</v>
      </c>
      <c r="K6">
        <f>0</f>
        <v>0</v>
      </c>
      <c r="L6" s="43">
        <f>DATA!$B$8*((1+DATA!$B$9)^A5)*F6*E6</f>
        <v>26.874886925807328</v>
      </c>
      <c r="M6">
        <f>B5*EXP(RATES!Q7)*(DATA!$B$12)</f>
        <v>1104.0739573594303</v>
      </c>
      <c r="N6">
        <f>C5*EXP(RATES!Q7)*(DATA!$B$12)</f>
        <v>276.01848933985758</v>
      </c>
      <c r="O6">
        <f t="shared" si="3"/>
        <v>1380.0924466992878</v>
      </c>
      <c r="P6">
        <f t="shared" si="4"/>
        <v>699.01147470060789</v>
      </c>
      <c r="Q6">
        <f>RATES!I7</f>
        <v>0.94893490355096188</v>
      </c>
      <c r="R6" s="43">
        <f t="shared" si="5"/>
        <v>9862.1575327819828</v>
      </c>
      <c r="S6">
        <f t="shared" si="6"/>
        <v>9358.5455071748638</v>
      </c>
      <c r="T6">
        <f>C5*EXP(RATES!Q7)*(DATA!$B$6-DATA!$B$12)</f>
        <v>157.72485105134714</v>
      </c>
      <c r="U6">
        <f>B5*EXP(RATES!Q7)*(DATA!$B$6-DATA!$B$12)</f>
        <v>630.89940420538858</v>
      </c>
      <c r="V6">
        <f t="shared" si="7"/>
        <v>788.62425525673575</v>
      </c>
      <c r="W6">
        <f t="shared" si="8"/>
        <v>399.43512840034731</v>
      </c>
    </row>
    <row r="7" spans="1:23" x14ac:dyDescent="0.3">
      <c r="A7" s="6">
        <v>5</v>
      </c>
      <c r="B7">
        <f>B6*EXP(RATES!Q8)*(1-DATA!$B$6)</f>
        <v>76640.797833737815</v>
      </c>
      <c r="C7">
        <f>C6*EXP(RATES!Q8)*(1-DATA!$B$6)</f>
        <v>19160.199458434454</v>
      </c>
      <c r="D7">
        <f t="shared" si="1"/>
        <v>95800.997292172266</v>
      </c>
      <c r="E7">
        <f>E6*(1-'LIFE TABLE MALE'!D67/1000)</f>
        <v>0.9609215763955995</v>
      </c>
      <c r="F7">
        <f t="shared" si="2"/>
        <v>0.44370531249999989</v>
      </c>
      <c r="G7">
        <f t="shared" si="0"/>
        <v>95780.997292172266</v>
      </c>
      <c r="H7">
        <f>MAX(D7,DATA!$B$3)</f>
        <v>100000</v>
      </c>
      <c r="I7">
        <f>G7*DATA!$B$7*F6*E7</f>
        <v>7206.6637924477163</v>
      </c>
      <c r="J7">
        <f>H7*'LIFE TABLE MALE'!D67/1000*F6*E6</f>
        <v>488.90551339368034</v>
      </c>
      <c r="K7">
        <f>0</f>
        <v>0</v>
      </c>
      <c r="L7" s="43">
        <f>DATA!$B$8*((1+DATA!$B$9)^A6)*F7*E7</f>
        <v>23.075613968043037</v>
      </c>
      <c r="M7">
        <f>B6*EXP(RATES!Q8)*(DATA!$B$12)</f>
        <v>1097.1075354522795</v>
      </c>
      <c r="N7">
        <f>C6*EXP(RATES!Q8)*(DATA!$B$12)</f>
        <v>274.27688386306988</v>
      </c>
      <c r="O7">
        <f t="shared" si="3"/>
        <v>1371.3844193153495</v>
      </c>
      <c r="P7">
        <f t="shared" si="4"/>
        <v>584.71170076672274</v>
      </c>
      <c r="Q7">
        <f>RATES!I8</f>
        <v>0.93395132766480615</v>
      </c>
      <c r="R7" s="43">
        <f t="shared" si="5"/>
        <v>8303.3566205761617</v>
      </c>
      <c r="S7">
        <f t="shared" si="6"/>
        <v>7754.9309398614641</v>
      </c>
      <c r="T7">
        <f>C6*EXP(RATES!Q8)*(DATA!$B$6-DATA!$B$12)</f>
        <v>156.72964792175418</v>
      </c>
      <c r="U7">
        <f>B6*EXP(RATES!Q8)*(DATA!$B$6-DATA!$B$12)</f>
        <v>626.91859168701671</v>
      </c>
      <c r="V7">
        <f t="shared" si="7"/>
        <v>783.64823960877084</v>
      </c>
      <c r="W7">
        <f t="shared" si="8"/>
        <v>334.12097186669854</v>
      </c>
    </row>
    <row r="8" spans="1:23" x14ac:dyDescent="0.3">
      <c r="A8" s="5">
        <v>6</v>
      </c>
      <c r="B8">
        <f>B7*EXP(RATES!Q9)*(1-DATA!$B$6)</f>
        <v>76323.99757041446</v>
      </c>
      <c r="C8">
        <f>C7*EXP(RATES!Q9)*(1-DATA!$B$6)</f>
        <v>19080.999392603615</v>
      </c>
      <c r="D8">
        <f t="shared" si="1"/>
        <v>95404.996963018071</v>
      </c>
      <c r="E8">
        <f>E7*(1-'LIFE TABLE MALE'!D68/1000)</f>
        <v>0.95054816852958335</v>
      </c>
      <c r="F8">
        <f t="shared" si="2"/>
        <v>0.37714951562499988</v>
      </c>
      <c r="G8">
        <f t="shared" si="0"/>
        <v>95384.996963018071</v>
      </c>
      <c r="H8">
        <f>MAX(D8,DATA!$B$3)</f>
        <v>100000</v>
      </c>
      <c r="I8">
        <f>G8*DATA!$B$7*F7*E8</f>
        <v>6034.4832651673687</v>
      </c>
      <c r="J8">
        <f>H8*'LIFE TABLE MALE'!D68/1000*F7*E7</f>
        <v>460.27361788806417</v>
      </c>
      <c r="K8">
        <f>0</f>
        <v>0</v>
      </c>
      <c r="L8" s="43">
        <f>DATA!$B$8*((1+DATA!$B$9)^A7)*F8*E8</f>
        <v>19.790581122358219</v>
      </c>
      <c r="M8">
        <f>B7*EXP(RATES!Q9)*(DATA!$B$12)</f>
        <v>1092.5725623576714</v>
      </c>
      <c r="N8">
        <f>C7*EXP(RATES!Q9)*(DATA!$B$12)</f>
        <v>273.14314058941784</v>
      </c>
      <c r="O8">
        <f t="shared" si="3"/>
        <v>1365.7157029470891</v>
      </c>
      <c r="P8">
        <f t="shared" si="4"/>
        <v>489.60741516228995</v>
      </c>
      <c r="Q8">
        <f>RATES!I9</f>
        <v>0.91719569297904224</v>
      </c>
      <c r="R8" s="43">
        <f t="shared" si="5"/>
        <v>7004.1548793400807</v>
      </c>
      <c r="S8">
        <f t="shared" si="6"/>
        <v>6424.180688288865</v>
      </c>
      <c r="T8">
        <f>C7*EXP(RATES!Q9)*(DATA!$B$6-DATA!$B$12)</f>
        <v>156.08179462252443</v>
      </c>
      <c r="U8">
        <f>B7*EXP(RATES!Q9)*(DATA!$B$6-DATA!$B$12)</f>
        <v>624.32717849009771</v>
      </c>
      <c r="V8">
        <f t="shared" si="7"/>
        <v>780.40897311262211</v>
      </c>
      <c r="W8">
        <f t="shared" si="8"/>
        <v>279.77566580702273</v>
      </c>
    </row>
    <row r="9" spans="1:23" x14ac:dyDescent="0.3">
      <c r="A9" s="5">
        <v>7</v>
      </c>
      <c r="B9">
        <f>B8*EXP(RATES!Q10)*(1-DATA!$B$6)</f>
        <v>76042.031927252916</v>
      </c>
      <c r="C9">
        <f>C8*EXP(RATES!Q10)*(1-DATA!$B$6)</f>
        <v>19010.507981813229</v>
      </c>
      <c r="D9">
        <f t="shared" si="1"/>
        <v>95052.539909066138</v>
      </c>
      <c r="E9">
        <f>E8*(1-'LIFE TABLE MALE'!D69/1000)</f>
        <v>0.93939989246654454</v>
      </c>
      <c r="F9">
        <f t="shared" si="2"/>
        <v>0.32057708828124987</v>
      </c>
      <c r="G9">
        <f t="shared" si="0"/>
        <v>95032.539909066138</v>
      </c>
      <c r="H9">
        <f>MAX(D9,DATA!$B$3)</f>
        <v>100000</v>
      </c>
      <c r="I9">
        <f>G9*DATA!$B$7*F8*E9</f>
        <v>5050.4218607405546</v>
      </c>
      <c r="J9">
        <f>H9*'LIFE TABLE MALE'!D69/1000*F8*E8</f>
        <v>420.4566917228853</v>
      </c>
      <c r="K9">
        <f>0</f>
        <v>0</v>
      </c>
      <c r="L9" s="43">
        <f>DATA!$B$8*((1+DATA!$B$9)^A8)*F9*E9</f>
        <v>16.957195259897361</v>
      </c>
      <c r="M9">
        <f>B8*EXP(RATES!Q10)*(DATA!$B$12)</f>
        <v>1088.5362443574038</v>
      </c>
      <c r="N9">
        <f>C8*EXP(RATES!Q10)*(DATA!$B$12)</f>
        <v>272.13406108935095</v>
      </c>
      <c r="O9">
        <f t="shared" si="3"/>
        <v>1360.6703054467548</v>
      </c>
      <c r="P9">
        <f t="shared" si="4"/>
        <v>409.76597441218462</v>
      </c>
      <c r="Q9">
        <f>RATES!I10</f>
        <v>0.90034354930821414</v>
      </c>
      <c r="R9" s="43">
        <f t="shared" si="5"/>
        <v>5897.6017221355214</v>
      </c>
      <c r="S9">
        <f t="shared" si="6"/>
        <v>5309.8676669137312</v>
      </c>
      <c r="T9">
        <f>C8*EXP(RATES!Q10)*(DATA!$B$6-DATA!$B$12)</f>
        <v>155.50517776534338</v>
      </c>
      <c r="U9">
        <f>B8*EXP(RATES!Q10)*(DATA!$B$6-DATA!$B$12)</f>
        <v>622.0207110613735</v>
      </c>
      <c r="V9">
        <f t="shared" si="7"/>
        <v>777.52588882671694</v>
      </c>
      <c r="W9">
        <f t="shared" si="8"/>
        <v>234.15198537839117</v>
      </c>
    </row>
    <row r="10" spans="1:23" x14ac:dyDescent="0.3">
      <c r="A10" s="5">
        <v>8</v>
      </c>
      <c r="B10">
        <f>B9*EXP(RATES!Q11)*(1-DATA!$B$6)</f>
        <v>75892.364912512698</v>
      </c>
      <c r="C10">
        <f>C9*EXP(RATES!Q11)*(1-DATA!$B$6)</f>
        <v>18973.091228128174</v>
      </c>
      <c r="D10">
        <f t="shared" si="1"/>
        <v>94865.456140640876</v>
      </c>
      <c r="E10">
        <f>E9*(1-'LIFE TABLE MALE'!D70/1000)</f>
        <v>0.9273775090067512</v>
      </c>
      <c r="F10">
        <f t="shared" si="2"/>
        <v>0.2724905250390624</v>
      </c>
      <c r="G10">
        <f t="shared" si="0"/>
        <v>94845.456140640876</v>
      </c>
      <c r="H10">
        <f>MAX(D10,DATA!$B$3)</f>
        <v>100000</v>
      </c>
      <c r="I10">
        <f>G10*DATA!$B$7*F9*E10</f>
        <v>4229.5759471876845</v>
      </c>
      <c r="J10">
        <f>H10*'LIFE TABLE MALE'!D70/1000*F9*E9</f>
        <v>385.41006837411919</v>
      </c>
      <c r="K10">
        <f>0</f>
        <v>0</v>
      </c>
      <c r="L10" s="43">
        <f>DATA!$B$8*((1+DATA!$B$9)^A9)*F10*E10</f>
        <v>14.51373440610465</v>
      </c>
      <c r="M10">
        <f>B9*EXP(RATES!Q11)*(DATA!$B$12)</f>
        <v>1086.3937717537606</v>
      </c>
      <c r="N10">
        <f>C9*EXP(RATES!Q11)*(DATA!$B$12)</f>
        <v>271.59844293844014</v>
      </c>
      <c r="O10">
        <f t="shared" si="3"/>
        <v>1357.9922146922008</v>
      </c>
      <c r="P10">
        <f t="shared" si="4"/>
        <v>343.16678417229502</v>
      </c>
      <c r="Q10">
        <f>RATES!I11</f>
        <v>0.8822724925609482</v>
      </c>
      <c r="R10" s="43">
        <f t="shared" si="5"/>
        <v>4972.6665341402031</v>
      </c>
      <c r="S10">
        <f t="shared" si="6"/>
        <v>4387.2468977502886</v>
      </c>
      <c r="T10">
        <f>C9*EXP(RATES!Q11)*(DATA!$B$6-DATA!$B$12)</f>
        <v>155.19911025053719</v>
      </c>
      <c r="U10">
        <f>B9*EXP(RATES!Q11)*(DATA!$B$6-DATA!$B$12)</f>
        <v>620.79644100214875</v>
      </c>
      <c r="V10">
        <f t="shared" si="7"/>
        <v>775.99555125268591</v>
      </c>
      <c r="W10">
        <f t="shared" si="8"/>
        <v>196.09530524131137</v>
      </c>
    </row>
    <row r="11" spans="1:23" x14ac:dyDescent="0.3">
      <c r="A11" s="5">
        <v>9</v>
      </c>
      <c r="B11">
        <f>B10*EXP(RATES!Q12)*(1-DATA!$B$6)</f>
        <v>75883.015115797869</v>
      </c>
      <c r="C11">
        <f>C10*EXP(RATES!Q12)*(1-DATA!$B$6)</f>
        <v>18970.753778949467</v>
      </c>
      <c r="D11">
        <f t="shared" si="1"/>
        <v>94853.768894747336</v>
      </c>
      <c r="E11">
        <f>E10*(1-'LIFE TABLE MALE'!D71/1000)</f>
        <v>0.91441741759215689</v>
      </c>
      <c r="F11">
        <f t="shared" si="2"/>
        <v>0.23161694628320303</v>
      </c>
      <c r="G11">
        <f t="shared" si="0"/>
        <v>94833.768894747336</v>
      </c>
      <c r="H11">
        <f>MAX(D11,DATA!$B$3)</f>
        <v>100000</v>
      </c>
      <c r="I11">
        <f>G11*DATA!$B$7*F10*E11</f>
        <v>3544.4606989752306</v>
      </c>
      <c r="J11">
        <f>H11*'LIFE TABLE MALE'!D71/1000*F10*E10</f>
        <v>353.15021141170342</v>
      </c>
      <c r="K11">
        <f>0</f>
        <v>0</v>
      </c>
      <c r="L11" s="43">
        <f>DATA!$B$8*((1+DATA!$B$9)^A10)*F11*E11</f>
        <v>12.407554732898763</v>
      </c>
      <c r="M11">
        <f>B10*EXP(RATES!Q12)*(DATA!$B$12)</f>
        <v>1086.2599300829961</v>
      </c>
      <c r="N11">
        <f>C10*EXP(RATES!Q12)*(DATA!$B$12)</f>
        <v>271.56498252074903</v>
      </c>
      <c r="O11">
        <f t="shared" si="3"/>
        <v>1357.8249126037451</v>
      </c>
      <c r="P11">
        <f t="shared" si="4"/>
        <v>287.57994335201545</v>
      </c>
      <c r="Q11">
        <f>RATES!I12</f>
        <v>0.8629688138604944</v>
      </c>
      <c r="R11" s="43">
        <f t="shared" si="5"/>
        <v>4197.5984084718484</v>
      </c>
      <c r="S11">
        <f t="shared" si="6"/>
        <v>3622.39651962165</v>
      </c>
      <c r="T11">
        <f>C10*EXP(RATES!Q12)*(DATA!$B$6-DATA!$B$12)</f>
        <v>155.17999001185655</v>
      </c>
      <c r="U11">
        <f>B10*EXP(RATES!Q12)*(DATA!$B$6-DATA!$B$12)</f>
        <v>620.71996004742618</v>
      </c>
      <c r="V11">
        <f t="shared" si="7"/>
        <v>775.89995005928267</v>
      </c>
      <c r="W11">
        <f t="shared" si="8"/>
        <v>164.33139620115159</v>
      </c>
    </row>
    <row r="12" spans="1:23" x14ac:dyDescent="0.3">
      <c r="A12" s="6">
        <v>10</v>
      </c>
      <c r="B12">
        <f>B11*EXP(RATES!Q13)*(1-DATA!$B$6)</f>
        <v>75833.11129935256</v>
      </c>
      <c r="C12">
        <f>C11*EXP(RATES!Q13)*(1-DATA!$B$6)</f>
        <v>18958.27782483814</v>
      </c>
      <c r="D12">
        <f t="shared" si="1"/>
        <v>94791.389124190697</v>
      </c>
      <c r="E12">
        <f>E11*(1-'LIFE TABLE MALE'!D72/1000)</f>
        <v>0.90009759511179277</v>
      </c>
      <c r="F12">
        <f t="shared" si="2"/>
        <v>0.19687440434072256</v>
      </c>
      <c r="G12">
        <f t="shared" si="0"/>
        <v>94771.389124190697</v>
      </c>
      <c r="H12">
        <f>MAX(D12,DATA!$B$3)</f>
        <v>100000</v>
      </c>
      <c r="I12">
        <f>G12*DATA!$B$7*F11*E12</f>
        <v>2963.6604069986438</v>
      </c>
      <c r="J12">
        <f>H12*'LIFE TABLE MALE'!D72/1000*F11*E11</f>
        <v>331.67135542194848</v>
      </c>
      <c r="K12">
        <f>0</f>
        <v>0</v>
      </c>
      <c r="L12" s="43">
        <f>DATA!$B$8*((1+DATA!$B$9)^A11)*F12*E12</f>
        <v>10.588889315285121</v>
      </c>
      <c r="M12">
        <f>B11*EXP(RATES!Q13)*(DATA!$B$12)</f>
        <v>1085.5455605224292</v>
      </c>
      <c r="N12">
        <f>C11*EXP(RATES!Q13)*(DATA!$B$12)</f>
        <v>271.38639013060731</v>
      </c>
      <c r="O12">
        <f t="shared" si="3"/>
        <v>1356.9319506530364</v>
      </c>
      <c r="P12">
        <f t="shared" si="4"/>
        <v>240.45672462682393</v>
      </c>
      <c r="Q12">
        <f>RATES!I13</f>
        <v>0.84453890374874796</v>
      </c>
      <c r="R12" s="43">
        <f t="shared" si="5"/>
        <v>3546.3773763627014</v>
      </c>
      <c r="S12">
        <f t="shared" si="6"/>
        <v>2995.0536617127168</v>
      </c>
      <c r="T12">
        <f>C11*EXP(RATES!Q13)*(DATA!$B$6-DATA!$B$12)</f>
        <v>155.07793721748988</v>
      </c>
      <c r="U12">
        <f>B11*EXP(RATES!Q13)*(DATA!$B$6-DATA!$B$12)</f>
        <v>620.3117488699595</v>
      </c>
      <c r="V12">
        <f t="shared" si="7"/>
        <v>775.38968608744938</v>
      </c>
      <c r="W12">
        <f t="shared" si="8"/>
        <v>137.4038426438994</v>
      </c>
    </row>
    <row r="13" spans="1:23" x14ac:dyDescent="0.3">
      <c r="A13" s="5">
        <v>11</v>
      </c>
      <c r="B13">
        <f>B12*EXP(RATES!Q14)*(1-DATA!$B$6)</f>
        <v>75730.951084056709</v>
      </c>
      <c r="C13">
        <f>C12*EXP(RATES!Q14)*(1-DATA!$B$6)</f>
        <v>18932.737771014177</v>
      </c>
      <c r="D13">
        <f t="shared" si="1"/>
        <v>94663.688855070883</v>
      </c>
      <c r="E13">
        <f>E12*(1-'LIFE TABLE MALE'!D73/1000)</f>
        <v>0.88436966777579928</v>
      </c>
      <c r="F13">
        <f t="shared" si="2"/>
        <v>0.16734324368961417</v>
      </c>
      <c r="G13">
        <f t="shared" si="0"/>
        <v>94643.688855070883</v>
      </c>
      <c r="H13">
        <f>MAX(D13,DATA!$B$3)</f>
        <v>100000</v>
      </c>
      <c r="I13">
        <f>G13*DATA!$B$7*F12*E13</f>
        <v>2471.758372996906</v>
      </c>
      <c r="J13">
        <f>H13*'LIFE TABLE MALE'!D73/1000*F12*E12</f>
        <v>309.64263257878912</v>
      </c>
      <c r="K13">
        <f>0</f>
        <v>0</v>
      </c>
      <c r="L13" s="43">
        <f>DATA!$B$8*((1+DATA!$B$9)^A12)*F13*E13</f>
        <v>9.0201496637971381</v>
      </c>
      <c r="M13">
        <f>B12*EXP(RATES!Q14)*(DATA!$B$12)</f>
        <v>1084.0831443525501</v>
      </c>
      <c r="N13">
        <f>C12*EXP(RATES!Q14)*(DATA!$B$12)</f>
        <v>271.02078608813753</v>
      </c>
      <c r="O13">
        <f t="shared" si="3"/>
        <v>1355.1039304406877</v>
      </c>
      <c r="P13">
        <f t="shared" si="4"/>
        <v>200.54628736737484</v>
      </c>
      <c r="Q13">
        <f>RATES!I14</f>
        <v>0.82707325748529792</v>
      </c>
      <c r="R13" s="43">
        <f t="shared" si="5"/>
        <v>2990.9674426068668</v>
      </c>
      <c r="S13">
        <f t="shared" si="6"/>
        <v>2473.7491857893324</v>
      </c>
      <c r="T13">
        <f>C12*EXP(RATES!Q14)*(DATA!$B$6-DATA!$B$12)</f>
        <v>154.86902062179286</v>
      </c>
      <c r="U13">
        <f>B12*EXP(RATES!Q14)*(DATA!$B$6-DATA!$B$12)</f>
        <v>619.47608248717142</v>
      </c>
      <c r="V13">
        <f t="shared" si="7"/>
        <v>774.34510310896428</v>
      </c>
      <c r="W13">
        <f t="shared" si="8"/>
        <v>114.59787849564273</v>
      </c>
    </row>
    <row r="14" spans="1:23" x14ac:dyDescent="0.3">
      <c r="A14" s="5">
        <v>12</v>
      </c>
      <c r="B14">
        <f>B13*EXP(RATES!Q15)*(1-DATA!$B$6)</f>
        <v>75576.8346958209</v>
      </c>
      <c r="C14">
        <f>C13*EXP(RATES!Q15)*(1-DATA!$B$6)</f>
        <v>18894.208673955225</v>
      </c>
      <c r="D14">
        <f t="shared" si="1"/>
        <v>94471.043369776133</v>
      </c>
      <c r="E14">
        <f>E13*(1-'LIFE TABLE MALE'!D74/1000)</f>
        <v>0.86691443914546784</v>
      </c>
      <c r="F14">
        <f t="shared" si="2"/>
        <v>0.14224175713617204</v>
      </c>
      <c r="G14">
        <f t="shared" si="0"/>
        <v>94451.043369776133</v>
      </c>
      <c r="H14">
        <f>MAX(D14,DATA!$B$3)</f>
        <v>100000</v>
      </c>
      <c r="I14">
        <f>G14*DATA!$B$7*F13*E14</f>
        <v>2055.3341500119932</v>
      </c>
      <c r="J14">
        <f>H14*'LIFE TABLE MALE'!D74/1000*F13*E13</f>
        <v>292.10145783434922</v>
      </c>
      <c r="K14">
        <f>0</f>
        <v>0</v>
      </c>
      <c r="L14" s="43">
        <f>DATA!$B$8*((1+DATA!$B$9)^A13)*F14*E14</f>
        <v>7.6661133930628793</v>
      </c>
      <c r="M14">
        <f>B13*EXP(RATES!Q15)*(DATA!$B$12)</f>
        <v>1081.8769792857797</v>
      </c>
      <c r="N14">
        <f>C13*EXP(RATES!Q15)*(DATA!$B$12)</f>
        <v>270.46924482144493</v>
      </c>
      <c r="O14">
        <f t="shared" si="3"/>
        <v>1352.3462241072248</v>
      </c>
      <c r="P14">
        <f t="shared" si="4"/>
        <v>166.75975095660101</v>
      </c>
      <c r="Q14">
        <f>RATES!I15</f>
        <v>0.81052711026035729</v>
      </c>
      <c r="R14" s="44">
        <f t="shared" si="5"/>
        <v>2521.8614721960062</v>
      </c>
      <c r="S14">
        <f t="shared" si="6"/>
        <v>2044.0370915359592</v>
      </c>
      <c r="T14">
        <f>C13*EXP(RATES!Q15)*(DATA!$B$6-DATA!$B$12)</f>
        <v>154.5538541836828</v>
      </c>
      <c r="U14">
        <f>B13*EXP(RATES!Q15)*(DATA!$B$6-DATA!$B$12)</f>
        <v>618.21541673473121</v>
      </c>
      <c r="V14">
        <f t="shared" si="7"/>
        <v>772.76927091841401</v>
      </c>
      <c r="W14">
        <f t="shared" si="8"/>
        <v>95.291286260914859</v>
      </c>
    </row>
    <row r="15" spans="1:23" x14ac:dyDescent="0.3">
      <c r="A15" s="5">
        <v>13</v>
      </c>
      <c r="B15">
        <f>B14*EXP(RATES!Q16)*(1-DATA!$B$6)</f>
        <v>75488.960211171579</v>
      </c>
      <c r="C15">
        <f>C14*EXP(RATES!Q16)*(1-DATA!$B$6)</f>
        <v>18872.240052792895</v>
      </c>
      <c r="D15">
        <f t="shared" si="1"/>
        <v>94361.200263964478</v>
      </c>
      <c r="E15">
        <f>E14*(1-'LIFE TABLE MALE'!D75/1000)</f>
        <v>0.84808352308867097</v>
      </c>
      <c r="F15">
        <f t="shared" si="2"/>
        <v>0.12090549356574623</v>
      </c>
      <c r="G15">
        <f t="shared" si="0"/>
        <v>94341.200263964478</v>
      </c>
      <c r="H15">
        <f>MAX(D15,DATA!$B$3)</f>
        <v>100000</v>
      </c>
      <c r="I15">
        <f>G15*DATA!$B$7*F14*E15</f>
        <v>1707.0977524787418</v>
      </c>
      <c r="J15">
        <f>H15*'LIFE TABLE MALE'!D75/1000*F14*E14</f>
        <v>267.85425884025403</v>
      </c>
      <c r="K15">
        <f>0</f>
        <v>0</v>
      </c>
      <c r="L15" s="43">
        <f>DATA!$B$8*((1+DATA!$B$9)^A14)*F15*E15</f>
        <v>6.5021461262725833</v>
      </c>
      <c r="M15">
        <f>B14*EXP(RATES!Q16)*(DATA!$B$12)</f>
        <v>1080.6190623276095</v>
      </c>
      <c r="N15">
        <f>C14*EXP(RATES!Q16)*(DATA!$B$12)</f>
        <v>270.15476558190238</v>
      </c>
      <c r="O15">
        <f t="shared" si="3"/>
        <v>1350.773827909512</v>
      </c>
      <c r="P15">
        <f t="shared" si="4"/>
        <v>138.50558860728478</v>
      </c>
      <c r="Q15">
        <f>RATES!I16</f>
        <v>0.7936182674341915</v>
      </c>
      <c r="R15" s="44">
        <f t="shared" si="5"/>
        <v>2119.9597460525533</v>
      </c>
      <c r="S15">
        <f t="shared" si="6"/>
        <v>1682.438780692456</v>
      </c>
      <c r="T15">
        <f>C14*EXP(RATES!Q16)*(DATA!$B$6-DATA!$B$12)</f>
        <v>154.37415176108703</v>
      </c>
      <c r="U15">
        <f>B14*EXP(RATES!Q16)*(DATA!$B$6-DATA!$B$12)</f>
        <v>617.49660704434814</v>
      </c>
      <c r="V15">
        <f t="shared" si="7"/>
        <v>771.87075880543512</v>
      </c>
      <c r="W15">
        <f t="shared" si="8"/>
        <v>79.146050632734116</v>
      </c>
    </row>
    <row r="16" spans="1:23" x14ac:dyDescent="0.3">
      <c r="A16" s="5">
        <v>14</v>
      </c>
      <c r="B16">
        <f>B15*EXP(RATES!Q17)*(1-DATA!$B$6)</f>
        <v>75204.3772952086</v>
      </c>
      <c r="C16">
        <f>C15*EXP(RATES!Q17)*(1-DATA!$B$6)</f>
        <v>18801.09432380215</v>
      </c>
      <c r="D16">
        <f t="shared" si="1"/>
        <v>94005.471619010757</v>
      </c>
      <c r="E16">
        <f>E15*(1-'LIFE TABLE MALE'!D76/1000)</f>
        <v>0.82779649169036118</v>
      </c>
      <c r="F16">
        <f t="shared" si="2"/>
        <v>0.10276966953088429</v>
      </c>
      <c r="G16">
        <f t="shared" si="0"/>
        <v>93985.471619010757</v>
      </c>
      <c r="H16">
        <f>MAX(D16,DATA!$B$3)</f>
        <v>100000</v>
      </c>
      <c r="I16">
        <f>G16*DATA!$B$7*F15*E16</f>
        <v>1410.9824106732081</v>
      </c>
      <c r="J16">
        <f>H16*'LIFE TABLE MALE'!D76/1000*F15*E15</f>
        <v>245.28135441964363</v>
      </c>
      <c r="K16">
        <f>0</f>
        <v>0</v>
      </c>
      <c r="L16" s="43">
        <f>DATA!$B$8*((1+DATA!$B$9)^A15)*F16*E16</f>
        <v>5.5025092172566552</v>
      </c>
      <c r="M16">
        <f>B15*EXP(RATES!Q17)*(DATA!$B$12)</f>
        <v>1076.5452782545199</v>
      </c>
      <c r="N16">
        <f>C15*EXP(RATES!Q17)*(DATA!$B$12)</f>
        <v>269.13631956362997</v>
      </c>
      <c r="O16">
        <f t="shared" si="3"/>
        <v>1345.6815978181498</v>
      </c>
      <c r="P16">
        <f t="shared" si="4"/>
        <v>114.4803253349049</v>
      </c>
      <c r="Q16">
        <f>RATES!I17</f>
        <v>0.77909574852687735</v>
      </c>
      <c r="R16" s="44">
        <f t="shared" si="5"/>
        <v>1776.2465996450132</v>
      </c>
      <c r="S16">
        <f t="shared" si="6"/>
        <v>1383.8661741187523</v>
      </c>
      <c r="T16">
        <f>C15*EXP(RATES!Q17)*(DATA!$B$6-DATA!$B$12)</f>
        <v>153.79218260778853</v>
      </c>
      <c r="U16">
        <f>B15*EXP(RATES!Q17)*(DATA!$B$6-DATA!$B$12)</f>
        <v>615.16873043115413</v>
      </c>
      <c r="V16">
        <f t="shared" si="7"/>
        <v>768.96091303894264</v>
      </c>
      <c r="W16">
        <f t="shared" si="8"/>
        <v>65.417328762802782</v>
      </c>
    </row>
    <row r="17" spans="1:23" x14ac:dyDescent="0.3">
      <c r="A17" s="6">
        <v>15</v>
      </c>
      <c r="B17">
        <f>B16*EXP(RATES!Q18)*(1-DATA!$B$6)</f>
        <v>75149.330053779049</v>
      </c>
      <c r="C17">
        <f>C16*EXP(RATES!Q18)*(1-DATA!$B$6)</f>
        <v>18787.332513444762</v>
      </c>
      <c r="D17">
        <f t="shared" si="1"/>
        <v>93936.662567223815</v>
      </c>
      <c r="E17">
        <f>E16*(1-'LIFE TABLE MALE'!D77/1000)</f>
        <v>0.80629125769035137</v>
      </c>
      <c r="F17">
        <f t="shared" si="2"/>
        <v>8.7354219101251643E-2</v>
      </c>
      <c r="G17">
        <f t="shared" si="0"/>
        <v>93916.662567223815</v>
      </c>
      <c r="H17">
        <f>MAX(D17,DATA!$B$3)</f>
        <v>100000</v>
      </c>
      <c r="I17">
        <f>G17*DATA!$B$7*F16*E17</f>
        <v>1167.3224044589347</v>
      </c>
      <c r="J17">
        <f>H17*'LIFE TABLE MALE'!D77/1000*F16*E16</f>
        <v>221.00857913653451</v>
      </c>
      <c r="K17">
        <f>0</f>
        <v>0</v>
      </c>
      <c r="L17" s="43">
        <f>DATA!$B$8*((1+DATA!$B$9)^A16)*F17*E17</f>
        <v>4.6467386375457433</v>
      </c>
      <c r="M17">
        <f>B16*EXP(RATES!Q18)*(DATA!$B$12)</f>
        <v>1075.7572809334424</v>
      </c>
      <c r="N17">
        <f>C16*EXP(RATES!Q18)*(DATA!$B$12)</f>
        <v>268.9393202333606</v>
      </c>
      <c r="O17">
        <f t="shared" si="3"/>
        <v>1344.696601166803</v>
      </c>
      <c r="P17">
        <f t="shared" si="4"/>
        <v>94.710939309304948</v>
      </c>
      <c r="Q17">
        <f>RATES!I18</f>
        <v>0.76251377818847088</v>
      </c>
      <c r="R17" s="44">
        <f t="shared" si="5"/>
        <v>1487.68866154232</v>
      </c>
      <c r="S17">
        <f t="shared" si="6"/>
        <v>1134.3831020807838</v>
      </c>
      <c r="T17">
        <f>C16*EXP(RATES!Q18)*(DATA!$B$6-DATA!$B$12)</f>
        <v>153.67961156192032</v>
      </c>
      <c r="U17">
        <f>B16*EXP(RATES!Q18)*(DATA!$B$6-DATA!$B$12)</f>
        <v>614.7184462476813</v>
      </c>
      <c r="V17">
        <f t="shared" si="7"/>
        <v>768.3980578096016</v>
      </c>
      <c r="W17">
        <f t="shared" si="8"/>
        <v>54.120536748174253</v>
      </c>
    </row>
    <row r="18" spans="1:23" x14ac:dyDescent="0.3">
      <c r="A18" s="5">
        <v>16</v>
      </c>
      <c r="B18">
        <f>B17*EXP(RATES!Q19)*(1-DATA!$B$6)</f>
        <v>74437.793881301142</v>
      </c>
      <c r="C18">
        <f>C17*EXP(RATES!Q19)*(1-DATA!$B$6)</f>
        <v>18609.448470325286</v>
      </c>
      <c r="D18">
        <f t="shared" si="1"/>
        <v>93047.242351626424</v>
      </c>
      <c r="E18">
        <f>E17*(1-'LIFE TABLE MALE'!D78/1000)</f>
        <v>0.78272955654492149</v>
      </c>
      <c r="F18">
        <f t="shared" si="2"/>
        <v>7.4251086236063898E-2</v>
      </c>
      <c r="G18">
        <f t="shared" si="0"/>
        <v>93027.242351626424</v>
      </c>
      <c r="H18">
        <f>MAX(D18,DATA!$B$3)</f>
        <v>100000</v>
      </c>
      <c r="I18">
        <f>G18*DATA!$B$7*F17*E18</f>
        <v>954.10687531553617</v>
      </c>
      <c r="J18">
        <f>H18*'LIFE TABLE MALE'!D78/1000*F17*E17</f>
        <v>205.8214004256096</v>
      </c>
      <c r="K18">
        <f>0</f>
        <v>0</v>
      </c>
      <c r="L18" s="43">
        <f>DATA!$B$8*((1+DATA!$B$9)^A17)*F18*E18</f>
        <v>3.9109937836246558</v>
      </c>
      <c r="M18">
        <f>B17*EXP(RATES!Q19)*(DATA!$B$12)</f>
        <v>1065.5716915523683</v>
      </c>
      <c r="N18">
        <f>C17*EXP(RATES!Q19)*(DATA!$B$12)</f>
        <v>266.39292288809207</v>
      </c>
      <c r="O18">
        <f t="shared" si="3"/>
        <v>1331.9646144404603</v>
      </c>
      <c r="P18">
        <f t="shared" si="4"/>
        <v>77.411811820631144</v>
      </c>
      <c r="Q18">
        <f>RATES!I19</f>
        <v>0.7528668418905029</v>
      </c>
      <c r="R18" s="44">
        <f t="shared" si="5"/>
        <v>1241.2510813454016</v>
      </c>
      <c r="S18">
        <f t="shared" si="6"/>
        <v>934.4967816056843</v>
      </c>
      <c r="T18">
        <f>C17*EXP(RATES!Q19)*(DATA!$B$6-DATA!$B$12)</f>
        <v>152.22452736462398</v>
      </c>
      <c r="U18">
        <f>B17*EXP(RATES!Q19)*(DATA!$B$6-DATA!$B$12)</f>
        <v>608.89810945849592</v>
      </c>
      <c r="V18">
        <f t="shared" si="7"/>
        <v>761.12263682311993</v>
      </c>
      <c r="W18">
        <f t="shared" si="8"/>
        <v>44.235321040360645</v>
      </c>
    </row>
    <row r="19" spans="1:23" x14ac:dyDescent="0.3">
      <c r="A19" s="5">
        <v>17</v>
      </c>
      <c r="B19">
        <f>B18*EXP(RATES!Q20)*(1-DATA!$B$6)</f>
        <v>73930.211449159367</v>
      </c>
      <c r="C19">
        <f>C18*EXP(RATES!Q20)*(1-DATA!$B$6)</f>
        <v>18482.552862289842</v>
      </c>
      <c r="D19">
        <f t="shared" si="1"/>
        <v>92412.764311449209</v>
      </c>
      <c r="E19">
        <f>E18*(1-'LIFE TABLE MALE'!D79/1000)</f>
        <v>0.75700168217713715</v>
      </c>
      <c r="F19">
        <f t="shared" si="2"/>
        <v>6.3113423300654309E-2</v>
      </c>
      <c r="G19">
        <f t="shared" si="0"/>
        <v>92392.764311449209</v>
      </c>
      <c r="H19">
        <f>MAX(D19,DATA!$B$3)</f>
        <v>100000</v>
      </c>
      <c r="I19">
        <f>G19*DATA!$B$7*F18*E19</f>
        <v>778.98460722141147</v>
      </c>
      <c r="J19">
        <f>H19*'LIFE TABLE MALE'!D79/1000*F18*E18</f>
        <v>191.03226183529731</v>
      </c>
      <c r="K19">
        <f>0</f>
        <v>0</v>
      </c>
      <c r="L19" s="43">
        <f>DATA!$B$8*((1+DATA!$B$9)^A18)*F19*E19</f>
        <v>3.2793769081426625</v>
      </c>
      <c r="M19">
        <f>B18*EXP(RATES!Q20)*(DATA!$B$12)</f>
        <v>1058.3056853662895</v>
      </c>
      <c r="N19">
        <f>C18*EXP(RATES!Q20)*(DATA!$B$12)</f>
        <v>264.57642134157237</v>
      </c>
      <c r="O19">
        <f t="shared" si="3"/>
        <v>1322.8821067078618</v>
      </c>
      <c r="P19">
        <f t="shared" si="4"/>
        <v>63.203295559470149</v>
      </c>
      <c r="Q19">
        <f>RATES!I20</f>
        <v>0.74135900997489912</v>
      </c>
      <c r="R19" s="44">
        <f t="shared" si="5"/>
        <v>1036.4995415243216</v>
      </c>
      <c r="S19">
        <f t="shared" si="6"/>
        <v>768.41827394390782</v>
      </c>
      <c r="T19">
        <f>C18*EXP(RATES!Q20)*(DATA!$B$6-DATA!$B$12)</f>
        <v>151.18652648089846</v>
      </c>
      <c r="U19">
        <f>B18*EXP(RATES!Q20)*(DATA!$B$6-DATA!$B$12)</f>
        <v>604.74610592359386</v>
      </c>
      <c r="V19">
        <f t="shared" si="7"/>
        <v>755.93263240449232</v>
      </c>
      <c r="W19">
        <f t="shared" si="8"/>
        <v>36.116168891125795</v>
      </c>
    </row>
    <row r="20" spans="1:23" x14ac:dyDescent="0.3">
      <c r="A20" s="5">
        <v>18</v>
      </c>
      <c r="B20">
        <f>B19*EXP(RATES!Q21)*(1-DATA!$B$6)</f>
        <v>73392.885594138526</v>
      </c>
      <c r="C20">
        <f>C19*EXP(RATES!Q21)*(1-DATA!$B$6)</f>
        <v>18348.221398534632</v>
      </c>
      <c r="D20">
        <f t="shared" si="1"/>
        <v>91741.106992673158</v>
      </c>
      <c r="E20">
        <f>E19*(1-'LIFE TABLE MALE'!D80/1000)</f>
        <v>0.72857800254523786</v>
      </c>
      <c r="F20">
        <f t="shared" si="2"/>
        <v>5.3646409805556163E-2</v>
      </c>
      <c r="G20">
        <f t="shared" si="0"/>
        <v>91721.106992673158</v>
      </c>
      <c r="H20">
        <f>MAX(D20,DATA!$B$3)</f>
        <v>100000</v>
      </c>
      <c r="I20">
        <f>G20*DATA!$B$7*F19*E20</f>
        <v>632.64246323029931</v>
      </c>
      <c r="J20">
        <f>H20*'LIFE TABLE MALE'!D80/1000*F19*E19</f>
        <v>179.39157243702476</v>
      </c>
      <c r="K20">
        <f>0</f>
        <v>0</v>
      </c>
      <c r="L20" s="43">
        <f>DATA!$B$8*((1+DATA!$B$9)^A19)*F20*E20</f>
        <v>2.7364633876180271</v>
      </c>
      <c r="M20">
        <f>B19*EXP(RATES!Q21)*(DATA!$B$12)</f>
        <v>1050.6139042105722</v>
      </c>
      <c r="N20">
        <f>C19*EXP(RATES!Q21)*(DATA!$B$12)</f>
        <v>262.65347605264304</v>
      </c>
      <c r="O20">
        <f t="shared" si="3"/>
        <v>1313.2673802632153</v>
      </c>
      <c r="P20">
        <f t="shared" si="4"/>
        <v>51.329835769548446</v>
      </c>
      <c r="Q20">
        <f>RATES!I21</f>
        <v>0.73035735969736371</v>
      </c>
      <c r="R20" s="44">
        <f t="shared" si="5"/>
        <v>866.10033482449057</v>
      </c>
      <c r="S20">
        <f t="shared" si="6"/>
        <v>632.5627537754176</v>
      </c>
      <c r="T20">
        <f>C19*EXP(RATES!Q21)*(DATA!$B$6-DATA!$B$12)</f>
        <v>150.08770060151028</v>
      </c>
      <c r="U20">
        <f>B19*EXP(RATES!Q21)*(DATA!$B$6-DATA!$B$12)</f>
        <v>600.35080240604111</v>
      </c>
      <c r="V20">
        <f t="shared" si="7"/>
        <v>750.43850300755139</v>
      </c>
      <c r="W20">
        <f t="shared" si="8"/>
        <v>29.331334725456248</v>
      </c>
    </row>
    <row r="21" spans="1:23" x14ac:dyDescent="0.3">
      <c r="A21" s="5">
        <v>19</v>
      </c>
      <c r="B21">
        <f>B20*EXP(RATES!Q22)*(1-DATA!$B$6)</f>
        <v>72525.756072160104</v>
      </c>
      <c r="C21">
        <f>C20*EXP(RATES!Q22)*(1-DATA!$B$6)</f>
        <v>18131.439018040026</v>
      </c>
      <c r="D21">
        <f t="shared" si="1"/>
        <v>90657.195090200126</v>
      </c>
      <c r="E21">
        <f>E20*(1-'LIFE TABLE MALE'!D81/1000)</f>
        <v>0.69834190615291014</v>
      </c>
      <c r="F21">
        <f t="shared" si="2"/>
        <v>4.5599448334722736E-2</v>
      </c>
      <c r="G21">
        <f t="shared" si="0"/>
        <v>90637.195090200126</v>
      </c>
      <c r="H21">
        <f>MAX(D21,DATA!$B$3)</f>
        <v>100000</v>
      </c>
      <c r="I21">
        <f>G21*DATA!$B$7*F20*E21</f>
        <v>509.33847429321111</v>
      </c>
      <c r="J21">
        <f>H21*'LIFE TABLE MALE'!D81/1000*F20*E20</f>
        <v>162.20580179831128</v>
      </c>
      <c r="K21">
        <f>0</f>
        <v>0</v>
      </c>
      <c r="L21" s="43">
        <f>DATA!$B$8*((1+DATA!$B$9)^A20)*F21*E21</f>
        <v>2.274054080269575</v>
      </c>
      <c r="M21">
        <f>B20*EXP(RATES!Q22)*(DATA!$B$12)</f>
        <v>1038.201007167936</v>
      </c>
      <c r="N21">
        <f>C20*EXP(RATES!Q22)*(DATA!$B$12)</f>
        <v>259.55025179198401</v>
      </c>
      <c r="O21">
        <f t="shared" si="3"/>
        <v>1297.7512589599201</v>
      </c>
      <c r="P21">
        <f t="shared" si="4"/>
        <v>41.325598448039095</v>
      </c>
      <c r="Q21">
        <f>RATES!I22</f>
        <v>0.72282965709172209</v>
      </c>
      <c r="R21" s="44">
        <f t="shared" si="5"/>
        <v>715.14392861983106</v>
      </c>
      <c r="S21">
        <f t="shared" si="6"/>
        <v>516.92724069549945</v>
      </c>
      <c r="T21">
        <f>C20*EXP(RATES!Q22)*(DATA!$B$6-DATA!$B$12)</f>
        <v>148.3144295954194</v>
      </c>
      <c r="U21">
        <f>B20*EXP(RATES!Q22)*(DATA!$B$6-DATA!$B$12)</f>
        <v>593.25771838167759</v>
      </c>
      <c r="V21">
        <f t="shared" si="7"/>
        <v>741.57214797709696</v>
      </c>
      <c r="W21">
        <f t="shared" si="8"/>
        <v>23.614627684593763</v>
      </c>
    </row>
    <row r="22" spans="1:23" x14ac:dyDescent="0.3">
      <c r="A22" s="6">
        <v>20</v>
      </c>
      <c r="B22">
        <f>B21*EXP(RATES!Q23)*(1-DATA!$B$6)</f>
        <v>72038.913049676412</v>
      </c>
      <c r="C22">
        <f>C21*EXP(RATES!Q23)*(1-DATA!$B$6)</f>
        <v>18009.728262419103</v>
      </c>
      <c r="D22">
        <f t="shared" si="1"/>
        <v>90048.641312095511</v>
      </c>
      <c r="E22">
        <f>E21*(1-'LIFE TABLE MALE'!D82/1000)</f>
        <v>0.66548978691150162</v>
      </c>
      <c r="F22">
        <f t="shared" si="2"/>
        <v>3.8759531084514326E-2</v>
      </c>
      <c r="G22">
        <f t="shared" si="0"/>
        <v>90028.641312095511</v>
      </c>
      <c r="H22">
        <f>MAX(D22,DATA!$B$3)</f>
        <v>100000</v>
      </c>
      <c r="I22">
        <f>G22*DATA!$B$7*F21*E22</f>
        <v>409.8009288474363</v>
      </c>
      <c r="J22">
        <f>H22*'LIFE TABLE MALE'!D82/1000*F21*E21</f>
        <v>149.80385140347593</v>
      </c>
      <c r="K22">
        <f>0</f>
        <v>0</v>
      </c>
      <c r="L22" s="43">
        <f>DATA!$B$8*((1+DATA!$B$9)^A21)*F22*E22</f>
        <v>1.8788546197185032</v>
      </c>
      <c r="M22">
        <f>B21*EXP(RATES!Q23)*(DATA!$B$12)</f>
        <v>1031.2318841466972</v>
      </c>
      <c r="N22">
        <f>C21*EXP(RATES!Q23)*(DATA!$B$12)</f>
        <v>257.8079710366743</v>
      </c>
      <c r="O22">
        <f t="shared" si="3"/>
        <v>1289.0398551833714</v>
      </c>
      <c r="P22">
        <f t="shared" si="4"/>
        <v>33.249586941458389</v>
      </c>
      <c r="Q22">
        <f>RATES!I23</f>
        <v>0.71170485976071529</v>
      </c>
      <c r="R22" s="44">
        <f t="shared" si="5"/>
        <v>594.73322181208914</v>
      </c>
      <c r="S22">
        <f t="shared" si="6"/>
        <v>423.27452422481127</v>
      </c>
      <c r="T22">
        <f>C21*EXP(RATES!Q23)*(DATA!$B$6-DATA!$B$12)</f>
        <v>147.31884059238527</v>
      </c>
      <c r="U22">
        <f>B21*EXP(RATES!Q23)*(DATA!$B$6-DATA!$B$12)</f>
        <v>589.27536236954109</v>
      </c>
      <c r="V22">
        <f t="shared" si="7"/>
        <v>736.59420296192638</v>
      </c>
      <c r="W22">
        <f t="shared" si="8"/>
        <v>18.999763966547647</v>
      </c>
    </row>
    <row r="23" spans="1:23" x14ac:dyDescent="0.3">
      <c r="A23" s="5">
        <v>21</v>
      </c>
      <c r="B23">
        <f>B22*EXP(RATES!Q24)*(1-DATA!$B$6)</f>
        <v>71632.75915319928</v>
      </c>
      <c r="C23">
        <f>C22*EXP(RATES!Q24)*(1-DATA!$B$6)</f>
        <v>17908.18978829982</v>
      </c>
      <c r="D23">
        <f t="shared" si="1"/>
        <v>89540.948941499097</v>
      </c>
      <c r="E23">
        <f>E22*(1-'LIFE TABLE MALE'!D83/1000)</f>
        <v>0.63037147159761586</v>
      </c>
      <c r="F23">
        <f t="shared" si="2"/>
        <v>3.2945601421837174E-2</v>
      </c>
      <c r="G23">
        <f t="shared" si="0"/>
        <v>89520.948941499097</v>
      </c>
      <c r="H23">
        <f>MAX(D23,DATA!$B$3)</f>
        <v>100000</v>
      </c>
      <c r="I23">
        <f>G23*DATA!$B$7*F22*E23</f>
        <v>328.08849456903533</v>
      </c>
      <c r="J23">
        <f>H23*'LIFE TABLE MALE'!D83/1000*F22*E22</f>
        <v>136.11694340443282</v>
      </c>
      <c r="K23">
        <f>0</f>
        <v>0</v>
      </c>
      <c r="L23" s="43">
        <f>DATA!$B$8*((1+DATA!$B$9)^A22)*F23*E23</f>
        <v>1.5430053428157937</v>
      </c>
      <c r="M23">
        <f>B22*EXP(RATES!Q24)*(DATA!$B$12)</f>
        <v>1025.4178201889467</v>
      </c>
      <c r="N23">
        <f>C22*EXP(RATES!Q24)*(DATA!$B$12)</f>
        <v>256.35445504723668</v>
      </c>
      <c r="O23">
        <f t="shared" si="3"/>
        <v>1281.7722752361833</v>
      </c>
      <c r="P23">
        <f t="shared" si="4"/>
        <v>26.619804635283295</v>
      </c>
      <c r="Q23">
        <f>RATES!I24</f>
        <v>0.69999390394680183</v>
      </c>
      <c r="R23" s="44">
        <f t="shared" si="5"/>
        <v>492.36824795156724</v>
      </c>
      <c r="S23">
        <f t="shared" si="6"/>
        <v>344.65477206306446</v>
      </c>
      <c r="T23">
        <f>C22*EXP(RATES!Q24)*(DATA!$B$6-DATA!$B$12)</f>
        <v>146.48826002699235</v>
      </c>
      <c r="U23">
        <f>B22*EXP(RATES!Q24)*(DATA!$B$6-DATA!$B$12)</f>
        <v>585.9530401079694</v>
      </c>
      <c r="V23">
        <f t="shared" si="7"/>
        <v>732.44130013496169</v>
      </c>
      <c r="W23">
        <f t="shared" si="8"/>
        <v>15.211316934447591</v>
      </c>
    </row>
    <row r="24" spans="1:23" x14ac:dyDescent="0.3">
      <c r="A24" s="5">
        <v>22</v>
      </c>
      <c r="B24">
        <f>B23*EXP(RATES!Q25)*(1-DATA!$B$6)</f>
        <v>71318.587575951693</v>
      </c>
      <c r="C24">
        <f>C23*EXP(RATES!Q25)*(1-DATA!$B$6)</f>
        <v>17829.646893987923</v>
      </c>
      <c r="D24">
        <f t="shared" si="1"/>
        <v>89148.23446993962</v>
      </c>
      <c r="E24">
        <f>E23*(1-'LIFE TABLE MALE'!D84/1000)</f>
        <v>0.59321032950859998</v>
      </c>
      <c r="F24">
        <f t="shared" si="2"/>
        <v>2.8003761208561597E-2</v>
      </c>
      <c r="G24">
        <f t="shared" si="0"/>
        <v>89128.23446993962</v>
      </c>
      <c r="H24">
        <f>MAX(D24,DATA!$B$3)</f>
        <v>100000</v>
      </c>
      <c r="I24">
        <f>G24*DATA!$B$7*F23*E24</f>
        <v>261.28393470050128</v>
      </c>
      <c r="J24">
        <f>H24*'LIFE TABLE MALE'!D84/1000*F23*E23</f>
        <v>122.42961756449769</v>
      </c>
      <c r="K24">
        <f>0</f>
        <v>0</v>
      </c>
      <c r="L24" s="43">
        <f>DATA!$B$8*((1+DATA!$B$9)^A23)*F24*E24</f>
        <v>1.2589215906148017</v>
      </c>
      <c r="M24">
        <f>B23*EXP(RATES!Q25)*(DATA!$B$12)</f>
        <v>1020.9204765473658</v>
      </c>
      <c r="N24">
        <f>C23*EXP(RATES!Q25)*(DATA!$B$12)</f>
        <v>255.23011913684144</v>
      </c>
      <c r="O24">
        <f t="shared" si="3"/>
        <v>1276.1505956842072</v>
      </c>
      <c r="P24">
        <f t="shared" si="4"/>
        <v>21.199567361917886</v>
      </c>
      <c r="Q24">
        <f>RATES!I25</f>
        <v>0.68760980149587247</v>
      </c>
      <c r="R24" s="44">
        <f t="shared" si="5"/>
        <v>406.17204121753161</v>
      </c>
      <c r="S24">
        <f t="shared" si="6"/>
        <v>279.28787663476027</v>
      </c>
      <c r="T24">
        <f>C23*EXP(RATES!Q25)*(DATA!$B$6-DATA!$B$12)</f>
        <v>145.84578236390936</v>
      </c>
      <c r="U24">
        <f>B23*EXP(RATES!Q25)*(DATA!$B$6-DATA!$B$12)</f>
        <v>583.38312945563746</v>
      </c>
      <c r="V24">
        <f t="shared" si="7"/>
        <v>729.22891181954685</v>
      </c>
      <c r="W24">
        <f t="shared" si="8"/>
        <v>12.114038492524504</v>
      </c>
    </row>
    <row r="25" spans="1:23" x14ac:dyDescent="0.3">
      <c r="A25" s="5">
        <v>23</v>
      </c>
      <c r="B25">
        <f>B24*EXP(RATES!Q26)*(1-DATA!$B$6)</f>
        <v>71043.495814575741</v>
      </c>
      <c r="C25">
        <f>C24*EXP(RATES!Q26)*(1-DATA!$B$6)</f>
        <v>17760.873953643935</v>
      </c>
      <c r="D25">
        <f t="shared" si="1"/>
        <v>88804.36976821968</v>
      </c>
      <c r="E25">
        <f>E24*(1-'LIFE TABLE MALE'!D85/1000)</f>
        <v>0.55421480613968421</v>
      </c>
      <c r="F25">
        <f t="shared" si="2"/>
        <v>2.3803197027277356E-2</v>
      </c>
      <c r="G25">
        <f t="shared" si="0"/>
        <v>88784.36976821968</v>
      </c>
      <c r="H25">
        <f>MAX(D25,DATA!$B$3)</f>
        <v>100000</v>
      </c>
      <c r="I25">
        <f>G25*DATA!$B$7*F24*E25</f>
        <v>206.69133245870478</v>
      </c>
      <c r="J25">
        <f>H25*'LIFE TABLE MALE'!D85/1000*F24*E24</f>
        <v>109.20213246259992</v>
      </c>
      <c r="K25">
        <f>0</f>
        <v>0</v>
      </c>
      <c r="L25" s="43">
        <f>DATA!$B$8*((1+DATA!$B$9)^A24)*F25*E25</f>
        <v>1.0197347014261977</v>
      </c>
      <c r="M25">
        <f>B24*EXP(RATES!Q26)*(DATA!$B$12)</f>
        <v>1016.9825576728634</v>
      </c>
      <c r="N25">
        <f>C24*EXP(RATES!Q26)*(DATA!$B$12)</f>
        <v>254.24563941821586</v>
      </c>
      <c r="O25">
        <f t="shared" si="3"/>
        <v>1271.2281970910792</v>
      </c>
      <c r="P25">
        <f t="shared" si="4"/>
        <v>16.770149446462696</v>
      </c>
      <c r="Q25">
        <f>RATES!I26</f>
        <v>0.67508634505585241</v>
      </c>
      <c r="R25" s="44">
        <f t="shared" si="5"/>
        <v>333.68334906919358</v>
      </c>
      <c r="S25">
        <f t="shared" si="6"/>
        <v>225.26507252911807</v>
      </c>
      <c r="T25">
        <f>C24*EXP(RATES!Q26)*(DATA!$B$6-DATA!$B$12)</f>
        <v>145.28322252469474</v>
      </c>
      <c r="U25">
        <f>B24*EXP(RATES!Q26)*(DATA!$B$6-DATA!$B$12)</f>
        <v>581.13289009877894</v>
      </c>
      <c r="V25">
        <f t="shared" si="7"/>
        <v>726.41611262347374</v>
      </c>
      <c r="W25">
        <f t="shared" si="8"/>
        <v>9.5829425408358251</v>
      </c>
    </row>
    <row r="26" spans="1:23" x14ac:dyDescent="0.3">
      <c r="A26" s="5">
        <v>24</v>
      </c>
      <c r="B26">
        <f>B25*EXP(RATES!Q27)*(1-DATA!$B$6)</f>
        <v>70811.211947926349</v>
      </c>
      <c r="C26">
        <f>C25*EXP(RATES!Q27)*(1-DATA!$B$6)</f>
        <v>17702.802986981587</v>
      </c>
      <c r="D26">
        <f t="shared" si="1"/>
        <v>88514.014934907929</v>
      </c>
      <c r="E26">
        <f>E25*(1-'LIFE TABLE MALE'!D86/1000)</f>
        <v>0.51420915397167088</v>
      </c>
      <c r="F26">
        <f t="shared" si="2"/>
        <v>2.0232717473185752E-2</v>
      </c>
      <c r="G26">
        <f t="shared" si="0"/>
        <v>88494.014934907929</v>
      </c>
      <c r="H26">
        <f>MAX(D26,DATA!$B$3)</f>
        <v>100000</v>
      </c>
      <c r="I26">
        <f>G26*DATA!$B$7*F25*E26</f>
        <v>162.47264604472647</v>
      </c>
      <c r="J26">
        <f>H26*'LIFE TABLE MALE'!D86/1000*F25*E25</f>
        <v>95.226242075994605</v>
      </c>
      <c r="K26">
        <f>0</f>
        <v>0</v>
      </c>
      <c r="L26" s="43">
        <f>DATA!$B$8*((1+DATA!$B$9)^A25)*F26*E26</f>
        <v>0.8202910549354403</v>
      </c>
      <c r="M26">
        <f>B25*EXP(RATES!Q27)*(DATA!$B$12)</f>
        <v>1013.6574307474119</v>
      </c>
      <c r="N26">
        <f>C25*EXP(RATES!Q27)*(DATA!$B$12)</f>
        <v>253.41435768685298</v>
      </c>
      <c r="O26">
        <f t="shared" si="3"/>
        <v>1267.0717884342648</v>
      </c>
      <c r="P26">
        <f t="shared" si="4"/>
        <v>13.182422969125366</v>
      </c>
      <c r="Q26">
        <f>RATES!I27</f>
        <v>0.66240022974749146</v>
      </c>
      <c r="R26" s="44">
        <f t="shared" si="5"/>
        <v>271.70160214478187</v>
      </c>
      <c r="S26">
        <f t="shared" si="6"/>
        <v>179.97520368346503</v>
      </c>
      <c r="T26">
        <f>C25*EXP(RATES!Q27)*(DATA!$B$6-DATA!$B$12)</f>
        <v>144.8082043924874</v>
      </c>
      <c r="U26">
        <f>B25*EXP(RATES!Q27)*(DATA!$B$6-DATA!$B$12)</f>
        <v>579.23281756994959</v>
      </c>
      <c r="V26">
        <f t="shared" si="7"/>
        <v>724.04102196243696</v>
      </c>
      <c r="W26">
        <f t="shared" si="8"/>
        <v>7.532813125214493</v>
      </c>
    </row>
    <row r="27" spans="1:23" x14ac:dyDescent="0.3">
      <c r="A27" s="6">
        <v>25</v>
      </c>
      <c r="B27">
        <f>B26*EXP(RATES!Q28)*(1-DATA!$B$6)</f>
        <v>70642.835109868087</v>
      </c>
      <c r="C27">
        <f>C26*EXP(RATES!Q28)*(1-DATA!$B$6)</f>
        <v>17660.708777467022</v>
      </c>
      <c r="D27">
        <f t="shared" si="1"/>
        <v>88303.543887335109</v>
      </c>
      <c r="E27">
        <f>E26*(1-'LIFE TABLE MALE'!D87/1000)</f>
        <v>0.47242590134255708</v>
      </c>
      <c r="F27">
        <f t="shared" si="2"/>
        <v>1.7197809852207889E-2</v>
      </c>
      <c r="G27">
        <f t="shared" si="0"/>
        <v>88283.543887335109</v>
      </c>
      <c r="H27">
        <f>MAX(D27,DATA!$B$3)</f>
        <v>100000</v>
      </c>
      <c r="I27">
        <f>G27*DATA!$B$7*F26*E27</f>
        <v>126.57820564002516</v>
      </c>
      <c r="J27">
        <f>H27*'LIFE TABLE MALE'!D87/1000*F26*E26</f>
        <v>84.538874555560511</v>
      </c>
      <c r="K27">
        <f>0</f>
        <v>0</v>
      </c>
      <c r="L27" s="43">
        <f>DATA!$B$8*((1+DATA!$B$9)^A26)*F27*E27</f>
        <v>0.653402767811879</v>
      </c>
      <c r="M27">
        <f>B26*EXP(RATES!Q28)*(DATA!$B$12)</f>
        <v>1011.24712836212</v>
      </c>
      <c r="N27">
        <f>C26*EXP(RATES!Q28)*(DATA!$B$12)</f>
        <v>252.81178209052999</v>
      </c>
      <c r="O27">
        <f t="shared" si="3"/>
        <v>1264.05891045265</v>
      </c>
      <c r="P27">
        <f t="shared" si="4"/>
        <v>10.270087826385566</v>
      </c>
      <c r="Q27">
        <f>RATES!I28</f>
        <v>0.64937151806369919</v>
      </c>
      <c r="R27" s="44">
        <f t="shared" si="5"/>
        <v>222.04057078978312</v>
      </c>
      <c r="S27">
        <f t="shared" si="6"/>
        <v>144.18682252549172</v>
      </c>
      <c r="T27">
        <f>C26*EXP(RATES!Q28)*(DATA!$B$6-DATA!$B$12)</f>
        <v>144.46387548030282</v>
      </c>
      <c r="U27">
        <f>B26*EXP(RATES!Q28)*(DATA!$B$6-DATA!$B$12)</f>
        <v>577.85550192121127</v>
      </c>
      <c r="V27">
        <f t="shared" si="7"/>
        <v>722.31937740151409</v>
      </c>
      <c r="W27">
        <f t="shared" si="8"/>
        <v>5.8686216150774646</v>
      </c>
    </row>
    <row r="28" spans="1:23" x14ac:dyDescent="0.3">
      <c r="A28" s="5">
        <v>26</v>
      </c>
      <c r="B28">
        <f>B27*EXP(RATES!Q29)*(1-DATA!$B$6)</f>
        <v>70490.078696738463</v>
      </c>
      <c r="C28">
        <f>C27*EXP(RATES!Q29)*(1-DATA!$B$6)</f>
        <v>17622.519674184616</v>
      </c>
      <c r="D28">
        <f t="shared" si="1"/>
        <v>88112.598370923079</v>
      </c>
      <c r="E28">
        <f>E27*(1-'LIFE TABLE MALE'!D88/1000)</f>
        <v>0.42866056426106119</v>
      </c>
      <c r="F28">
        <f t="shared" si="2"/>
        <v>1.4618138374376706E-2</v>
      </c>
      <c r="G28">
        <f t="shared" si="0"/>
        <v>88092.598370923079</v>
      </c>
      <c r="H28">
        <f>MAX(D28,DATA!$B$3)</f>
        <v>100000</v>
      </c>
      <c r="I28">
        <f>G28*DATA!$B$7*F27*E28</f>
        <v>97.413097550283794</v>
      </c>
      <c r="J28">
        <f>H28*'LIFE TABLE MALE'!D88/1000*F27*E27</f>
        <v>75.266794524534987</v>
      </c>
      <c r="K28">
        <f>0</f>
        <v>0</v>
      </c>
      <c r="L28" s="43">
        <f>DATA!$B$8*((1+DATA!$B$9)^A27)*F28*E28</f>
        <v>0.51401985912343284</v>
      </c>
      <c r="M28">
        <f>B27*EXP(RATES!Q29)*(DATA!$B$12)</f>
        <v>1009.060431241655</v>
      </c>
      <c r="N28">
        <f>C27*EXP(RATES!Q29)*(DATA!$B$12)</f>
        <v>252.26510781041375</v>
      </c>
      <c r="O28">
        <f t="shared" si="3"/>
        <v>1261.3255390520687</v>
      </c>
      <c r="P28">
        <f t="shared" si="4"/>
        <v>7.9037426180301669</v>
      </c>
      <c r="Q28">
        <f>RATES!I29</f>
        <v>0.63646161436376514</v>
      </c>
      <c r="R28" s="44">
        <f t="shared" si="5"/>
        <v>181.09765455197237</v>
      </c>
      <c r="S28">
        <f t="shared" si="6"/>
        <v>115.26170557363979</v>
      </c>
      <c r="T28">
        <f>C27*EXP(RATES!Q29)*(DATA!$B$6-DATA!$B$12)</f>
        <v>144.15149017737926</v>
      </c>
      <c r="U28">
        <f>B27*EXP(RATES!Q29)*(DATA!$B$6-DATA!$B$12)</f>
        <v>576.60596070951703</v>
      </c>
      <c r="V28">
        <f t="shared" si="7"/>
        <v>720.75745088689632</v>
      </c>
      <c r="W28">
        <f t="shared" si="8"/>
        <v>4.5164243531600947</v>
      </c>
    </row>
    <row r="29" spans="1:23" x14ac:dyDescent="0.3">
      <c r="A29" s="5">
        <v>27</v>
      </c>
      <c r="B29">
        <f>B28*EXP(RATES!Q30)*(1-DATA!$B$6)</f>
        <v>70408.860022588662</v>
      </c>
      <c r="C29">
        <f>C28*EXP(RATES!Q30)*(1-DATA!$B$6)</f>
        <v>17602.215005647166</v>
      </c>
      <c r="D29">
        <f t="shared" si="1"/>
        <v>88011.07502823582</v>
      </c>
      <c r="E29">
        <f>E28*(1-'LIFE TABLE MALE'!D89/1000)</f>
        <v>0.38279328376033767</v>
      </c>
      <c r="F29">
        <f t="shared" si="2"/>
        <v>1.24254176182202E-2</v>
      </c>
      <c r="G29">
        <f t="shared" si="0"/>
        <v>87991.07502823582</v>
      </c>
      <c r="H29">
        <f>MAX(D29,DATA!$B$3)</f>
        <v>100000</v>
      </c>
      <c r="I29">
        <f>G29*DATA!$B$7*F28*E29</f>
        <v>73.856081265037574</v>
      </c>
      <c r="J29">
        <f>H29*'LIFE TABLE MALE'!D89/1000*F28*E28</f>
        <v>67.049425321592679</v>
      </c>
      <c r="K29">
        <f>0</f>
        <v>0</v>
      </c>
      <c r="L29" s="43">
        <f>DATA!$B$8*((1+DATA!$B$9)^A28)*F29*E29</f>
        <v>0.39796948563168955</v>
      </c>
      <c r="M29">
        <f>B28*EXP(RATES!Q30)*(DATA!$B$12)</f>
        <v>1007.8977917343982</v>
      </c>
      <c r="N29">
        <f>C28*EXP(RATES!Q30)*(DATA!$B$12)</f>
        <v>251.97444793359955</v>
      </c>
      <c r="O29">
        <f t="shared" si="3"/>
        <v>1259.8722396679977</v>
      </c>
      <c r="P29">
        <f t="shared" si="4"/>
        <v>5.9924140043848571</v>
      </c>
      <c r="Q29">
        <f>RATES!I30</f>
        <v>0.62317748399322548</v>
      </c>
      <c r="R29" s="44">
        <f t="shared" si="5"/>
        <v>147.2958900766468</v>
      </c>
      <c r="S29">
        <f t="shared" si="6"/>
        <v>91.791482180507458</v>
      </c>
      <c r="T29">
        <f>C28*EXP(RATES!Q30)*(DATA!$B$6-DATA!$B$12)</f>
        <v>143.9853988191997</v>
      </c>
      <c r="U29">
        <f>B28*EXP(RATES!Q30)*(DATA!$B$6-DATA!$B$12)</f>
        <v>575.94159527679881</v>
      </c>
      <c r="V29">
        <f t="shared" si="7"/>
        <v>719.92699409599845</v>
      </c>
      <c r="W29">
        <f t="shared" si="8"/>
        <v>3.4242365739342029</v>
      </c>
    </row>
    <row r="30" spans="1:23" x14ac:dyDescent="0.3">
      <c r="A30" s="5">
        <v>28</v>
      </c>
      <c r="B30">
        <f>B29*EXP(RATES!Q31)*(1-DATA!$B$6)</f>
        <v>70347.051498662549</v>
      </c>
      <c r="C30">
        <f>C29*EXP(RATES!Q31)*(1-DATA!$B$6)</f>
        <v>17586.762874665637</v>
      </c>
      <c r="D30">
        <f t="shared" si="1"/>
        <v>87933.81437332819</v>
      </c>
      <c r="E30">
        <f>E29*(1-'LIFE TABLE MALE'!D90/1000)</f>
        <v>0.33599119307109643</v>
      </c>
      <c r="F30">
        <f t="shared" si="2"/>
        <v>1.0561604975487169E-2</v>
      </c>
      <c r="G30">
        <f t="shared" si="0"/>
        <v>87913.81437332819</v>
      </c>
      <c r="H30">
        <f>MAX(D30,DATA!$B$3)</f>
        <v>100000</v>
      </c>
      <c r="I30">
        <f>G30*DATA!$B$7*F29*E30</f>
        <v>55.053796184897116</v>
      </c>
      <c r="J30">
        <f>H30*'LIFE TABLE MALE'!D90/1000*F29*E29</f>
        <v>58.153552221963729</v>
      </c>
      <c r="K30">
        <f>0</f>
        <v>0</v>
      </c>
      <c r="L30" s="43">
        <f>DATA!$B$8*((1+DATA!$B$9)^A29)*F30*E30</f>
        <v>0.30285340150374207</v>
      </c>
      <c r="M30">
        <f>B29*EXP(RATES!Q31)*(DATA!$B$12)</f>
        <v>1007.0130071383188</v>
      </c>
      <c r="N30">
        <f>C29*EXP(RATES!Q31)*(DATA!$B$12)</f>
        <v>251.7532517845797</v>
      </c>
      <c r="O30">
        <f t="shared" si="3"/>
        <v>1258.7662589228985</v>
      </c>
      <c r="P30">
        <f t="shared" si="4"/>
        <v>4.4668658218339949</v>
      </c>
      <c r="Q30">
        <f>RATES!I31</f>
        <v>0.61000307146135713</v>
      </c>
      <c r="R30" s="44">
        <f t="shared" si="5"/>
        <v>117.97706763019858</v>
      </c>
      <c r="S30">
        <f t="shared" si="6"/>
        <v>71.966373616425386</v>
      </c>
      <c r="T30">
        <f>C29*EXP(RATES!Q31)*(DATA!$B$6-DATA!$B$12)</f>
        <v>143.8590010197598</v>
      </c>
      <c r="U30">
        <f>B29*EXP(RATES!Q31)*(DATA!$B$6-DATA!$B$12)</f>
        <v>575.43600407903921</v>
      </c>
      <c r="V30">
        <f t="shared" si="7"/>
        <v>719.29500509879904</v>
      </c>
      <c r="W30">
        <f t="shared" si="8"/>
        <v>2.552494755333711</v>
      </c>
    </row>
    <row r="31" spans="1:23" x14ac:dyDescent="0.3">
      <c r="A31" s="5">
        <v>29</v>
      </c>
      <c r="B31">
        <f>B30*EXP(RATES!Q32)*(1-DATA!$B$6)</f>
        <v>70304.598166364973</v>
      </c>
      <c r="C31">
        <f>C30*EXP(RATES!Q32)*(1-DATA!$B$6)</f>
        <v>17576.149541591243</v>
      </c>
      <c r="D31">
        <f t="shared" si="1"/>
        <v>87880.747707956209</v>
      </c>
      <c r="E31">
        <f>E30*(1-'LIFE TABLE MALE'!D91/1000)</f>
        <v>0.28899294993893926</v>
      </c>
      <c r="F31">
        <f t="shared" si="2"/>
        <v>8.9773642291640938E-3</v>
      </c>
      <c r="G31">
        <f t="shared" si="0"/>
        <v>87860.747707956209</v>
      </c>
      <c r="H31">
        <f>MAX(D31,DATA!$B$3)</f>
        <v>100000</v>
      </c>
      <c r="I31">
        <f>G31*DATA!$B$7*F30*E31</f>
        <v>40.225673298508198</v>
      </c>
      <c r="J31">
        <f>H31*'LIFE TABLE MALE'!D91/1000*F30*E30</f>
        <v>49.637687850374704</v>
      </c>
      <c r="K31">
        <f>0</f>
        <v>0</v>
      </c>
      <c r="L31" s="43">
        <f>DATA!$B$8*((1+DATA!$B$9)^A30)*F31*E31</f>
        <v>0.22584522226719111</v>
      </c>
      <c r="M31">
        <f>B30*EXP(RATES!Q32)*(DATA!$B$12)</f>
        <v>1006.4052907250609</v>
      </c>
      <c r="N31">
        <f>C30*EXP(RATES!Q32)*(DATA!$B$12)</f>
        <v>251.60132268126523</v>
      </c>
      <c r="O31">
        <f t="shared" si="3"/>
        <v>1258.0066134063261</v>
      </c>
      <c r="P31">
        <f t="shared" si="4"/>
        <v>3.2637660316362682</v>
      </c>
      <c r="Q31">
        <f>RATES!I32</f>
        <v>0.59694324969343282</v>
      </c>
      <c r="R31" s="45">
        <f t="shared" si="5"/>
        <v>93.352972402786364</v>
      </c>
      <c r="S31">
        <f t="shared" si="6"/>
        <v>55.72642671466064</v>
      </c>
      <c r="T31">
        <f>C30*EXP(RATES!Q32)*(DATA!$B$6-DATA!$B$12)</f>
        <v>143.77218438929438</v>
      </c>
      <c r="U31">
        <f>B30*EXP(RATES!Q32)*(DATA!$B$6-DATA!$B$12)</f>
        <v>575.08873755717752</v>
      </c>
      <c r="V31">
        <f t="shared" si="7"/>
        <v>718.86092194647188</v>
      </c>
      <c r="W31">
        <f t="shared" si="8"/>
        <v>1.8650091609350103</v>
      </c>
    </row>
    <row r="32" spans="1:23" x14ac:dyDescent="0.3">
      <c r="A32" s="6">
        <v>30</v>
      </c>
      <c r="B32">
        <f>B31*EXP(RATES!Q33)*(1-DATA!$B$6)</f>
        <v>70281.461057879147</v>
      </c>
      <c r="C32">
        <f>C31*EXP(RATES!Q33)*(1-DATA!$B$6)</f>
        <v>17570.365264469787</v>
      </c>
      <c r="D32">
        <f t="shared" si="1"/>
        <v>87851.826322348934</v>
      </c>
      <c r="E32">
        <f>E31*(1-'LIFE TABLE MALE'!D92/1000)</f>
        <v>0.24274450939213651</v>
      </c>
      <c r="F32">
        <f t="shared" si="2"/>
        <v>7.6307595947894798E-3</v>
      </c>
      <c r="G32">
        <f t="shared" si="0"/>
        <v>87831.826322348934</v>
      </c>
      <c r="H32">
        <f>MAX(D32,DATA!$B$3)</f>
        <v>100000</v>
      </c>
      <c r="I32">
        <f>G32*DATA!$B$7*F31*E32</f>
        <v>28.710544795882182</v>
      </c>
      <c r="J32">
        <f>H32*'LIFE TABLE MALE'!D92/1000*F31*E31</f>
        <v>41.51890958194894</v>
      </c>
      <c r="K32">
        <f>0</f>
        <v>0</v>
      </c>
      <c r="L32" s="43">
        <f>DATA!$B$8*((1+DATA!$B$9)^A31)*F32*E32</f>
        <v>0.16447207527623681</v>
      </c>
      <c r="M32">
        <f>B31*EXP(RATES!Q33)*(DATA!$B$12)</f>
        <v>1006.0740846731167</v>
      </c>
      <c r="N32">
        <f>C31*EXP(RATES!Q33)*(DATA!$B$12)</f>
        <v>251.51852116827916</v>
      </c>
      <c r="O32">
        <f t="shared" si="3"/>
        <v>1257.5926058413959</v>
      </c>
      <c r="P32">
        <f t="shared" si="4"/>
        <v>2.3294702162287066</v>
      </c>
      <c r="Q32">
        <f>RATES!I33</f>
        <v>0.58400269236672853</v>
      </c>
      <c r="R32" s="45">
        <f t="shared" si="5"/>
        <v>72.723396669336068</v>
      </c>
      <c r="S32">
        <f t="shared" si="6"/>
        <v>42.470659452945839</v>
      </c>
      <c r="T32">
        <f>C31*EXP(RATES!Q33)*(DATA!$B$6-DATA!$B$12)</f>
        <v>143.72486923901664</v>
      </c>
      <c r="U32">
        <f>B31*EXP(RATES!Q33)*(DATA!$B$6-DATA!$B$12)</f>
        <v>574.89947695606656</v>
      </c>
      <c r="V32">
        <f t="shared" si="7"/>
        <v>718.62434619508326</v>
      </c>
      <c r="W32">
        <f t="shared" si="8"/>
        <v>1.3311258378449751</v>
      </c>
    </row>
    <row r="33" spans="1:23" x14ac:dyDescent="0.3">
      <c r="A33" s="5">
        <v>31</v>
      </c>
      <c r="B33">
        <f>B32*EXP(RATES!Q34)*(1-DATA!$B$6)</f>
        <v>70277.617137152411</v>
      </c>
      <c r="C33">
        <f>C32*EXP(RATES!Q34)*(1-DATA!$B$6)</f>
        <v>17569.404284288103</v>
      </c>
      <c r="D33">
        <f t="shared" si="1"/>
        <v>87847.021421440513</v>
      </c>
      <c r="E33">
        <f>E32*(1-'LIFE TABLE MALE'!D93/1000)</f>
        <v>0.1988663322971663</v>
      </c>
      <c r="F33">
        <f t="shared" si="2"/>
        <v>6.486145655571058E-3</v>
      </c>
      <c r="G33">
        <f t="shared" si="0"/>
        <v>87827.021421440513</v>
      </c>
      <c r="H33">
        <f>MAX(D33,DATA!$B$3)</f>
        <v>100000</v>
      </c>
      <c r="I33">
        <f>G33*DATA!$B$7*F32*E33</f>
        <v>19.991641207608115</v>
      </c>
      <c r="J33">
        <f>H33*'LIFE TABLE MALE'!D93/1000*F32*E32</f>
        <v>33.48238208693158</v>
      </c>
      <c r="K33">
        <f>0</f>
        <v>0</v>
      </c>
      <c r="L33" s="43">
        <f>DATA!$B$8*((1+DATA!$B$9)^A32)*F33*E33</f>
        <v>0.11682159148546863</v>
      </c>
      <c r="M33">
        <f>B32*EXP(RATES!Q34)*(DATA!$B$12)</f>
        <v>1006.0190592230407</v>
      </c>
      <c r="N33">
        <f>C32*EXP(RATES!Q34)*(DATA!$B$12)</f>
        <v>251.50476480576017</v>
      </c>
      <c r="O33">
        <f t="shared" si="3"/>
        <v>1257.5238240288008</v>
      </c>
      <c r="P33">
        <f t="shared" si="4"/>
        <v>1.6220497966081926</v>
      </c>
      <c r="Q33">
        <f>RATES!I34</f>
        <v>0.5711858731399696</v>
      </c>
      <c r="R33" s="45">
        <f t="shared" si="5"/>
        <v>55.212894682633362</v>
      </c>
      <c r="S33">
        <f t="shared" si="6"/>
        <v>31.536825457885122</v>
      </c>
      <c r="T33">
        <f>C32*EXP(RATES!Q34)*(DATA!$B$6-DATA!$B$12)</f>
        <v>143.71700846043436</v>
      </c>
      <c r="U33">
        <f>B32*EXP(RATES!Q34)*(DATA!$B$6-DATA!$B$12)</f>
        <v>574.86803384173743</v>
      </c>
      <c r="V33">
        <f t="shared" si="7"/>
        <v>718.58504230217181</v>
      </c>
      <c r="W33">
        <f t="shared" si="8"/>
        <v>0.92688559806182413</v>
      </c>
    </row>
    <row r="34" spans="1:23" x14ac:dyDescent="0.3">
      <c r="A34" s="5">
        <v>32</v>
      </c>
      <c r="B34">
        <f>B33*EXP(RATES!Q35)*(1-DATA!$B$6)</f>
        <v>70315.150647018178</v>
      </c>
      <c r="C34">
        <f>C33*EXP(RATES!Q35)*(1-DATA!$B$6)</f>
        <v>17578.787661754544</v>
      </c>
      <c r="D34">
        <f t="shared" si="1"/>
        <v>87893.938308772718</v>
      </c>
      <c r="E34">
        <f>E33*(1-'LIFE TABLE MALE'!D94/1000)</f>
        <v>0.1590545553724837</v>
      </c>
      <c r="F34">
        <f t="shared" si="2"/>
        <v>5.5132238072353994E-3</v>
      </c>
      <c r="G34">
        <f t="shared" si="0"/>
        <v>87873.938308772718</v>
      </c>
      <c r="H34">
        <f>MAX(D34,DATA!$B$3)</f>
        <v>100000</v>
      </c>
      <c r="I34">
        <f>G34*DATA!$B$7*F33*E34</f>
        <v>13.598285625205412</v>
      </c>
      <c r="J34">
        <f>H34*'LIFE TABLE MALE'!D94/1000*F33*E33</f>
        <v>25.822498394059416</v>
      </c>
      <c r="K34">
        <f>0</f>
        <v>0</v>
      </c>
      <c r="L34" s="43">
        <f>DATA!$B$8*((1+DATA!$B$9)^A33)*F34*E34</f>
        <v>8.1007842145788281E-2</v>
      </c>
      <c r="M34">
        <f>B33*EXP(RATES!Q35)*(DATA!$B$12)</f>
        <v>1006.5563487303217</v>
      </c>
      <c r="N34">
        <f>C33*EXP(RATES!Q35)*(DATA!$B$12)</f>
        <v>251.63908718258043</v>
      </c>
      <c r="O34">
        <f t="shared" si="3"/>
        <v>1258.1954359129022</v>
      </c>
      <c r="P34">
        <f t="shared" si="4"/>
        <v>1.1033158069606017</v>
      </c>
      <c r="Q34">
        <f>RATES!I35</f>
        <v>0.55832159839081175</v>
      </c>
      <c r="R34" s="45">
        <f t="shared" si="5"/>
        <v>40.605107668371218</v>
      </c>
      <c r="S34">
        <f t="shared" si="6"/>
        <v>22.670708616236027</v>
      </c>
      <c r="T34">
        <f>C33*EXP(RATES!Q35)*(DATA!$B$6-DATA!$B$12)</f>
        <v>143.79376410433164</v>
      </c>
      <c r="U34">
        <f>B33*EXP(RATES!Q35)*(DATA!$B$6-DATA!$B$12)</f>
        <v>575.17505641732657</v>
      </c>
      <c r="V34">
        <f t="shared" si="7"/>
        <v>718.96882052165824</v>
      </c>
      <c r="W34">
        <f t="shared" si="8"/>
        <v>0.63046617540605798</v>
      </c>
    </row>
    <row r="35" spans="1:23" x14ac:dyDescent="0.3">
      <c r="A35" s="5">
        <v>33</v>
      </c>
      <c r="B35">
        <f>B34*EXP(RATES!Q36)*(1-DATA!$B$6)</f>
        <v>70373.383287097851</v>
      </c>
      <c r="C35">
        <f>C34*EXP(RATES!Q36)*(1-DATA!$B$6)</f>
        <v>17593.345821774463</v>
      </c>
      <c r="D35">
        <f t="shared" si="1"/>
        <v>87966.729108872314</v>
      </c>
      <c r="E35">
        <f>E34*(1-'LIFE TABLE MALE'!D95/1000)</f>
        <v>0.12331571729742245</v>
      </c>
      <c r="F35">
        <f t="shared" si="2"/>
        <v>4.6862402361500894E-3</v>
      </c>
      <c r="G35">
        <f t="shared" si="0"/>
        <v>87946.729108872314</v>
      </c>
      <c r="H35">
        <f>MAX(D35,DATA!$B$3)</f>
        <v>100000</v>
      </c>
      <c r="I35">
        <f>G35*DATA!$B$7*F34*E35</f>
        <v>8.9688137896914277</v>
      </c>
      <c r="J35">
        <f>H35*'LIFE TABLE MALE'!D95/1000*F34*E34</f>
        <v>19.703621291835862</v>
      </c>
      <c r="K35">
        <f>0</f>
        <v>0</v>
      </c>
      <c r="L35" s="43">
        <f>DATA!$B$8*((1+DATA!$B$9)^A34)*F35*E35</f>
        <v>5.4452582632661027E-2</v>
      </c>
      <c r="M35">
        <f>B34*EXP(RATES!Q36)*(DATA!$B$12)</f>
        <v>1007.3899448050819</v>
      </c>
      <c r="N35">
        <f>C34*EXP(RATES!Q36)*(DATA!$B$12)</f>
        <v>251.84748620127047</v>
      </c>
      <c r="O35">
        <f t="shared" si="3"/>
        <v>1259.2374310063524</v>
      </c>
      <c r="P35">
        <f t="shared" si="4"/>
        <v>0.72769703718150147</v>
      </c>
      <c r="Q35">
        <f>RATES!I36</f>
        <v>0.54558668670354804</v>
      </c>
      <c r="R35" s="45">
        <f t="shared" si="5"/>
        <v>29.454584701341453</v>
      </c>
      <c r="S35">
        <f t="shared" si="6"/>
        <v>16.0700292754339</v>
      </c>
      <c r="T35">
        <f>C34*EXP(RATES!Q36)*(DATA!$B$6-DATA!$B$12)</f>
        <v>143.9128492578688</v>
      </c>
      <c r="U35">
        <f>B34*EXP(RATES!Q36)*(DATA!$B$6-DATA!$B$12)</f>
        <v>575.6513970314752</v>
      </c>
      <c r="V35">
        <f t="shared" si="7"/>
        <v>719.56424628934406</v>
      </c>
      <c r="W35">
        <f t="shared" si="8"/>
        <v>0.41582687838942928</v>
      </c>
    </row>
    <row r="36" spans="1:23" x14ac:dyDescent="0.3">
      <c r="A36" s="5">
        <v>34</v>
      </c>
      <c r="B36">
        <f>B35*EXP(RATES!Q37)*(1-DATA!$B$6)</f>
        <v>70452.361876930765</v>
      </c>
      <c r="C36">
        <f>C35*EXP(RATES!Q37)*(1-DATA!$B$6)</f>
        <v>17613.090469232691</v>
      </c>
      <c r="D36">
        <f t="shared" si="1"/>
        <v>88065.452346163453</v>
      </c>
      <c r="E36">
        <f>E35*(1-'LIFE TABLE MALE'!D96/1000)</f>
        <v>9.2980118665901043E-2</v>
      </c>
      <c r="F36">
        <f t="shared" si="2"/>
        <v>3.9833042007275761E-3</v>
      </c>
      <c r="G36">
        <f t="shared" si="0"/>
        <v>88045.452346163453</v>
      </c>
      <c r="H36">
        <f>MAX(D36,DATA!$B$3)</f>
        <v>100000</v>
      </c>
      <c r="I36">
        <f>G36*DATA!$B$7*F35*E36</f>
        <v>5.7545694103015874</v>
      </c>
      <c r="J36">
        <f>H36*'LIFE TABLE MALE'!D96/1000*F35*E35</f>
        <v>14.21599028947352</v>
      </c>
      <c r="K36">
        <f>0</f>
        <v>0</v>
      </c>
      <c r="L36" s="43">
        <f>DATA!$B$8*((1+DATA!$B$9)^A35)*F36*E36</f>
        <v>3.5596659379171933E-2</v>
      </c>
      <c r="M36">
        <f>B35*EXP(RATES!Q37)*(DATA!$B$12)</f>
        <v>1008.5205176656757</v>
      </c>
      <c r="N36">
        <f>C35*EXP(RATES!Q37)*(DATA!$B$12)</f>
        <v>252.13012941641892</v>
      </c>
      <c r="O36">
        <f t="shared" si="3"/>
        <v>1260.6506470820946</v>
      </c>
      <c r="P36">
        <f t="shared" si="4"/>
        <v>0.4669047814769875</v>
      </c>
      <c r="Q36">
        <f>RATES!I37</f>
        <v>0.53298562087793033</v>
      </c>
      <c r="R36" s="45">
        <f t="shared" si="5"/>
        <v>20.473061140631266</v>
      </c>
      <c r="S36">
        <f t="shared" si="6"/>
        <v>10.911847203311185</v>
      </c>
      <c r="T36">
        <f>C35*EXP(RATES!Q37)*(DATA!$B$6-DATA!$B$12)</f>
        <v>144.07435966652505</v>
      </c>
      <c r="U36">
        <f>B35*EXP(RATES!Q37)*(DATA!$B$6-DATA!$B$12)</f>
        <v>576.29743866610022</v>
      </c>
      <c r="V36">
        <f t="shared" si="7"/>
        <v>720.3717983326253</v>
      </c>
      <c r="W36">
        <f t="shared" si="8"/>
        <v>0.26680273227256424</v>
      </c>
    </row>
    <row r="37" spans="1:23" x14ac:dyDescent="0.3">
      <c r="A37" s="6">
        <v>35</v>
      </c>
      <c r="B37">
        <f>B36*EXP(RATES!Q38)*(1-DATA!$B$6)</f>
        <v>70527.91874027194</v>
      </c>
      <c r="C37">
        <f>C36*EXP(RATES!Q38)*(1-DATA!$B$6)</f>
        <v>17631.979685067985</v>
      </c>
      <c r="D37">
        <f t="shared" si="1"/>
        <v>88159.898425339925</v>
      </c>
      <c r="E37">
        <f>E36*(1-'LIFE TABLE MALE'!D97/1000)</f>
        <v>6.7353135477056972E-2</v>
      </c>
      <c r="F37">
        <f t="shared" si="2"/>
        <v>3.3858085706184394E-3</v>
      </c>
      <c r="G37">
        <f t="shared" si="0"/>
        <v>88139.898425339925</v>
      </c>
      <c r="H37">
        <f>MAX(D37,DATA!$B$3)</f>
        <v>100000</v>
      </c>
      <c r="I37">
        <f>G37*DATA!$B$7*F36*E37</f>
        <v>3.547031923595994</v>
      </c>
      <c r="J37">
        <f>H37*'LIFE TABLE MALE'!D97/1000*F36*E36</f>
        <v>10.208006978809758</v>
      </c>
      <c r="K37">
        <f>0</f>
        <v>0</v>
      </c>
      <c r="L37" s="43">
        <f>DATA!$B$8*((1+DATA!$B$9)^A36)*F37*E37</f>
        <v>2.2356100969064117E-2</v>
      </c>
      <c r="M37">
        <f>B36*EXP(RATES!Q38)*(DATA!$B$12)</f>
        <v>1009.6021087564491</v>
      </c>
      <c r="N37">
        <f>C36*EXP(RATES!Q38)*(DATA!$B$12)</f>
        <v>252.40052718911227</v>
      </c>
      <c r="O37">
        <f t="shared" si="3"/>
        <v>1262.0026359455615</v>
      </c>
      <c r="P37">
        <f t="shared" si="4"/>
        <v>0.28779316818932033</v>
      </c>
      <c r="Q37">
        <f>RATES!I38</f>
        <v>0.52070150920109992</v>
      </c>
      <c r="R37" s="45">
        <f t="shared" si="5"/>
        <v>14.065188171564134</v>
      </c>
      <c r="S37">
        <f t="shared" si="6"/>
        <v>7.3237647081309039</v>
      </c>
      <c r="T37">
        <f>C36*EXP(RATES!Q38)*(DATA!$B$6-DATA!$B$12)</f>
        <v>144.2288726794927</v>
      </c>
      <c r="U37">
        <f>B36*EXP(RATES!Q38)*(DATA!$B$6-DATA!$B$12)</f>
        <v>576.91549071797078</v>
      </c>
      <c r="V37">
        <f t="shared" si="7"/>
        <v>721.14436339746351</v>
      </c>
      <c r="W37">
        <f t="shared" si="8"/>
        <v>0.16445323896532588</v>
      </c>
    </row>
    <row r="38" spans="1:23" x14ac:dyDescent="0.3">
      <c r="A38" s="5">
        <v>36</v>
      </c>
      <c r="B38">
        <f>B37*EXP(RATES!Q39)*(1-DATA!$B$6)</f>
        <v>70647.871904893269</v>
      </c>
      <c r="C38">
        <f>C37*EXP(RATES!Q39)*(1-DATA!$B$6)</f>
        <v>17661.967976223317</v>
      </c>
      <c r="D38">
        <f t="shared" si="1"/>
        <v>88309.839881116583</v>
      </c>
      <c r="E38">
        <f>E37*(1-'LIFE TABLE MALE'!D98/1000)</f>
        <v>4.6772681765307828E-2</v>
      </c>
      <c r="F38">
        <f t="shared" si="2"/>
        <v>2.8779372850256733E-3</v>
      </c>
      <c r="G38">
        <f t="shared" si="0"/>
        <v>88289.839881116583</v>
      </c>
      <c r="H38">
        <f>MAX(D38,DATA!$B$3)</f>
        <v>100000</v>
      </c>
      <c r="I38">
        <f>G38*DATA!$B$7*F37*E38</f>
        <v>2.0972811796927053</v>
      </c>
      <c r="J38">
        <f>H38*'LIFE TABLE MALE'!D98/1000*F37*E37</f>
        <v>6.9681476564456313</v>
      </c>
      <c r="K38">
        <f>0</f>
        <v>0</v>
      </c>
      <c r="L38" s="43">
        <f>DATA!$B$8*((1+DATA!$B$9)^A37)*F38*E38</f>
        <v>1.3460141117876221E-2</v>
      </c>
      <c r="M38">
        <f>B37*EXP(RATES!Q39)*(DATA!$B$12)</f>
        <v>1011.3192297223985</v>
      </c>
      <c r="N38">
        <f>C37*EXP(RATES!Q39)*(DATA!$B$12)</f>
        <v>252.82980743059963</v>
      </c>
      <c r="O38">
        <f t="shared" si="3"/>
        <v>1264.1490371529981</v>
      </c>
      <c r="P38">
        <f t="shared" si="4"/>
        <v>0.1701656415120904</v>
      </c>
      <c r="Q38">
        <f>RATES!I39</f>
        <v>0.50838142605608061</v>
      </c>
      <c r="R38" s="46">
        <f t="shared" si="5"/>
        <v>9.2490546187683034</v>
      </c>
      <c r="S38">
        <f t="shared" si="6"/>
        <v>4.702047576760009</v>
      </c>
      <c r="T38">
        <f>C37*EXP(RATES!Q39)*(DATA!$B$6-DATA!$B$12)</f>
        <v>144.47417567462833</v>
      </c>
      <c r="U38">
        <f>B37*EXP(RATES!Q39)*(DATA!$B$6-DATA!$B$12)</f>
        <v>577.89670269851331</v>
      </c>
      <c r="V38">
        <f t="shared" si="7"/>
        <v>722.37087837314164</v>
      </c>
      <c r="W38">
        <f t="shared" si="8"/>
        <v>9.7237509435480207E-2</v>
      </c>
    </row>
    <row r="39" spans="1:23" x14ac:dyDescent="0.3">
      <c r="A39" s="5">
        <v>37</v>
      </c>
      <c r="B39">
        <f>B38*EXP(RATES!Q40)*(1-DATA!$B$6)</f>
        <v>70763.116165155152</v>
      </c>
      <c r="C39">
        <f>C38*EXP(RATES!Q40)*(1-DATA!$B$6)</f>
        <v>17690.779041288788</v>
      </c>
      <c r="D39">
        <f t="shared" si="1"/>
        <v>88453.895206443936</v>
      </c>
      <c r="E39">
        <f>E38*(1-'LIFE TABLE MALE'!D99/1000)</f>
        <v>3.1217167791388403E-2</v>
      </c>
      <c r="F39">
        <f t="shared" si="2"/>
        <v>2.4462466922718223E-3</v>
      </c>
      <c r="G39">
        <f t="shared" si="0"/>
        <v>88433.895206443936</v>
      </c>
      <c r="H39">
        <f>MAX(D39,DATA!$B$3)</f>
        <v>100000</v>
      </c>
      <c r="I39">
        <f>G39*DATA!$B$7*F38*E39</f>
        <v>1.1917491149939687</v>
      </c>
      <c r="J39">
        <f>H39*'LIFE TABLE MALE'!D99/1000*F38*E38</f>
        <v>4.4767793653280581</v>
      </c>
      <c r="K39">
        <f>0</f>
        <v>0</v>
      </c>
      <c r="L39" s="43">
        <f>DATA!$B$8*((1+DATA!$B$9)^A38)*F39*E39</f>
        <v>7.7887889828240431E-3</v>
      </c>
      <c r="M39">
        <f>B38*EXP(RATES!Q40)*(DATA!$B$12)</f>
        <v>1012.9689430594808</v>
      </c>
      <c r="N39">
        <f>C38*EXP(RATES!Q40)*(DATA!$B$12)</f>
        <v>253.2422357648702</v>
      </c>
      <c r="O39">
        <f t="shared" si="3"/>
        <v>1266.211178824351</v>
      </c>
      <c r="P39">
        <f t="shared" si="4"/>
        <v>9.6694081758372227E-2</v>
      </c>
      <c r="Q39">
        <f>RATES!I40</f>
        <v>0.49638730346167365</v>
      </c>
      <c r="R39" s="46">
        <f t="shared" si="5"/>
        <v>5.7730113510632233</v>
      </c>
      <c r="S39">
        <f t="shared" si="6"/>
        <v>2.865649537407907</v>
      </c>
      <c r="T39">
        <f>C38*EXP(RATES!Q40)*(DATA!$B$6-DATA!$B$12)</f>
        <v>144.70984900849723</v>
      </c>
      <c r="U39">
        <f>B38*EXP(RATES!Q40)*(DATA!$B$6-DATA!$B$12)</f>
        <v>578.83939603398892</v>
      </c>
      <c r="V39">
        <f t="shared" si="7"/>
        <v>723.54924504248618</v>
      </c>
      <c r="W39">
        <f t="shared" si="8"/>
        <v>5.5253761004784116E-2</v>
      </c>
    </row>
    <row r="40" spans="1:23" x14ac:dyDescent="0.3">
      <c r="A40" s="5">
        <v>38</v>
      </c>
      <c r="B40">
        <f>B39*EXP(RATES!Q41)*(1-DATA!$B$6)</f>
        <v>70897.975436315275</v>
      </c>
      <c r="C40">
        <f>C39*EXP(RATES!Q41)*(1-DATA!$B$6)</f>
        <v>17724.493859078819</v>
      </c>
      <c r="D40">
        <f t="shared" si="1"/>
        <v>88622.469295394098</v>
      </c>
      <c r="E40">
        <f>E39*(1-'LIFE TABLE MALE'!D100/1000)</f>
        <v>2.0085822836336076E-2</v>
      </c>
      <c r="F40">
        <f t="shared" si="2"/>
        <v>2.0793096884310488E-3</v>
      </c>
      <c r="G40">
        <f t="shared" si="0"/>
        <v>88602.469295394098</v>
      </c>
      <c r="H40">
        <f>MAX(D40,DATA!$B$3)</f>
        <v>100000</v>
      </c>
      <c r="I40">
        <f>G40*DATA!$B$7*F39*E40</f>
        <v>0.65302072357908836</v>
      </c>
      <c r="J40">
        <f>H40*'LIFE TABLE MALE'!D100/1000*F39*E39</f>
        <v>2.7230015776833381</v>
      </c>
      <c r="K40">
        <f>0</f>
        <v>0</v>
      </c>
      <c r="L40" s="43">
        <f>DATA!$B$8*((1+DATA!$B$9)^A39)*F40*E40</f>
        <v>4.3449538147644472E-3</v>
      </c>
      <c r="M40">
        <f>B39*EXP(RATES!Q41)*(DATA!$B$12)</f>
        <v>1014.8994438736338</v>
      </c>
      <c r="N40">
        <f>C39*EXP(RATES!Q41)*(DATA!$B$12)</f>
        <v>253.72486096840845</v>
      </c>
      <c r="O40">
        <f t="shared" si="3"/>
        <v>1268.6243048420422</v>
      </c>
      <c r="P40">
        <f t="shared" si="4"/>
        <v>5.2983645028794449E-2</v>
      </c>
      <c r="Q40">
        <f>RATES!I41</f>
        <v>0.48454334743921817</v>
      </c>
      <c r="R40" s="46">
        <f t="shared" si="5"/>
        <v>3.4333509001059852</v>
      </c>
      <c r="S40">
        <f t="shared" si="6"/>
        <v>1.6636073380708067</v>
      </c>
      <c r="T40">
        <f>C39*EXP(RATES!Q41)*(DATA!$B$6-DATA!$B$12)</f>
        <v>144.98563483909052</v>
      </c>
      <c r="U40">
        <f>B39*EXP(RATES!Q41)*(DATA!$B$6-DATA!$B$12)</f>
        <v>579.94253935636209</v>
      </c>
      <c r="V40">
        <f t="shared" si="7"/>
        <v>724.92817419545258</v>
      </c>
      <c r="W40">
        <f t="shared" si="8"/>
        <v>3.0276368587882539E-2</v>
      </c>
    </row>
    <row r="41" spans="1:23" x14ac:dyDescent="0.3">
      <c r="A41" s="5">
        <v>39</v>
      </c>
      <c r="B41">
        <f>B40*EXP(RATES!Q42)*(1-DATA!$B$6)</f>
        <v>71052.557089339942</v>
      </c>
      <c r="C41">
        <f>C40*EXP(RATES!Q42)*(1-DATA!$B$6)</f>
        <v>17763.139272334985</v>
      </c>
      <c r="D41">
        <f t="shared" si="1"/>
        <v>88815.696361674927</v>
      </c>
      <c r="E41">
        <f>E40*(1-'LIFE TABLE MALE'!D101/1000)</f>
        <v>1.2471630665793342E-2</v>
      </c>
      <c r="F41">
        <f t="shared" si="2"/>
        <v>1.7674132351663914E-3</v>
      </c>
      <c r="G41">
        <f t="shared" si="0"/>
        <v>88795.696361674927</v>
      </c>
      <c r="H41">
        <f>MAX(D41,DATA!$B$3)</f>
        <v>100000</v>
      </c>
      <c r="I41">
        <f>G41*DATA!$B$7*F40*E41</f>
        <v>0.34540259401332474</v>
      </c>
      <c r="J41">
        <f>H41*'LIFE TABLE MALE'!D101/1000*F40*E40</f>
        <v>1.5832263549785341</v>
      </c>
      <c r="K41">
        <f>0</f>
        <v>0</v>
      </c>
      <c r="L41" s="43">
        <f>DATA!$B$8*((1+DATA!$B$9)^A40)*F41*E41</f>
        <v>2.3390412203611638E-3</v>
      </c>
      <c r="M41">
        <f>B40*EXP(RATES!Q42)*(DATA!$B$12)</f>
        <v>1017.1122691725554</v>
      </c>
      <c r="N41">
        <f>C40*EXP(RATES!Q42)*(DATA!$B$12)</f>
        <v>254.27806729313886</v>
      </c>
      <c r="O41">
        <f t="shared" si="3"/>
        <v>1271.3903364656944</v>
      </c>
      <c r="P41">
        <f t="shared" si="4"/>
        <v>2.8024653407040783E-2</v>
      </c>
      <c r="Q41">
        <f>RATES!I42</f>
        <v>0.47285241501935521</v>
      </c>
      <c r="R41" s="46">
        <f t="shared" si="5"/>
        <v>1.9589926436192608</v>
      </c>
      <c r="S41">
        <f t="shared" si="6"/>
        <v>0.92631440254051856</v>
      </c>
      <c r="T41">
        <f>C40*EXP(RATES!Q42)*(DATA!$B$6-DATA!$B$12)</f>
        <v>145.30175273893644</v>
      </c>
      <c r="U41">
        <f>B40*EXP(RATES!Q42)*(DATA!$B$6-DATA!$B$12)</f>
        <v>581.20701095574577</v>
      </c>
      <c r="V41">
        <f t="shared" si="7"/>
        <v>726.50876369468222</v>
      </c>
      <c r="W41">
        <f t="shared" si="8"/>
        <v>1.6014087661166156E-2</v>
      </c>
    </row>
    <row r="42" spans="1:23" x14ac:dyDescent="0.3">
      <c r="A42" s="6">
        <v>40</v>
      </c>
      <c r="B42">
        <f>B41*EXP(RATES!Q43)*(1-DATA!$B$6)</f>
        <v>71226.984922161515</v>
      </c>
      <c r="C42">
        <f>C41*EXP(RATES!Q43)*(1-DATA!$B$6)</f>
        <v>17806.746230540379</v>
      </c>
      <c r="D42">
        <f t="shared" si="1"/>
        <v>89033.73115270189</v>
      </c>
      <c r="E42">
        <f>E41*(1-'LIFE TABLE MALE'!D102/1000)</f>
        <v>7.4516144932450555E-3</v>
      </c>
      <c r="F42">
        <f t="shared" si="2"/>
        <v>1.5023012498914326E-3</v>
      </c>
      <c r="G42">
        <f t="shared" si="0"/>
        <v>89013.73115270189</v>
      </c>
      <c r="H42">
        <f>MAX(D42,DATA!$B$3)</f>
        <v>100000</v>
      </c>
      <c r="I42">
        <f>G42*DATA!$B$7*F41*E42</f>
        <v>0.17584772181211672</v>
      </c>
      <c r="J42">
        <f>H42*'LIFE TABLE MALE'!D102/1000*F41*E41</f>
        <v>0.88724430241111751</v>
      </c>
      <c r="K42">
        <f>0</f>
        <v>0</v>
      </c>
      <c r="L42" s="43">
        <f>DATA!$B$8*((1+DATA!$B$9)^A41)*F42*E42</f>
        <v>1.2116693167864463E-3</v>
      </c>
      <c r="M42">
        <f>B41*EXP(RATES!Q43)*(DATA!$B$12)</f>
        <v>1019.6091911147864</v>
      </c>
      <c r="N42">
        <f>C41*EXP(RATES!Q43)*(DATA!$B$12)</f>
        <v>254.90229777869661</v>
      </c>
      <c r="O42">
        <f t="shared" si="3"/>
        <v>1274.5114888934831</v>
      </c>
      <c r="P42">
        <f t="shared" si="4"/>
        <v>1.4267607781147915E-2</v>
      </c>
      <c r="Q42">
        <f>RATES!I43</f>
        <v>0.46131716846104526</v>
      </c>
      <c r="R42" s="46">
        <f t="shared" si="5"/>
        <v>1.0785713013211686</v>
      </c>
      <c r="S42">
        <f t="shared" si="6"/>
        <v>0.49756345870882634</v>
      </c>
      <c r="T42">
        <f>C41*EXP(RATES!Q43)*(DATA!$B$6-DATA!$B$12)</f>
        <v>145.6584558735409</v>
      </c>
      <c r="U42">
        <f>B41*EXP(RATES!Q43)*(DATA!$B$6-DATA!$B$12)</f>
        <v>582.63382349416361</v>
      </c>
      <c r="V42">
        <f t="shared" si="7"/>
        <v>728.29227936770451</v>
      </c>
      <c r="W42">
        <f t="shared" si="8"/>
        <v>8.1529187320845218E-3</v>
      </c>
    </row>
    <row r="43" spans="1:23" x14ac:dyDescent="0.3">
      <c r="A43" s="5">
        <v>41</v>
      </c>
      <c r="B43">
        <f>B42*EXP(RATES!Q44)*(1-DATA!$B$6)</f>
        <v>71392.687063941979</v>
      </c>
      <c r="C43">
        <f>C42*EXP(RATES!Q44)*(1-DATA!$B$6)</f>
        <v>17848.171765985495</v>
      </c>
      <c r="D43">
        <f t="shared" si="1"/>
        <v>89240.858829927471</v>
      </c>
      <c r="E43">
        <f>E42*(1-'LIFE TABLE MALE'!D103/1000)</f>
        <v>4.2161420347981409E-3</v>
      </c>
      <c r="F43">
        <f t="shared" si="2"/>
        <v>1.2769560624077175E-3</v>
      </c>
      <c r="G43">
        <f t="shared" si="0"/>
        <v>89220.858829927471</v>
      </c>
      <c r="H43">
        <f>MAX(D43,DATA!$B$3)</f>
        <v>100000</v>
      </c>
      <c r="I43">
        <f>G43*DATA!$B$7*F42*E43</f>
        <v>8.4767606411996183E-2</v>
      </c>
      <c r="J43">
        <f>H43*'LIFE TABLE MALE'!D103/1000*F42*E42</f>
        <v>0.4860654318314106</v>
      </c>
      <c r="K43">
        <f>0</f>
        <v>0</v>
      </c>
      <c r="L43" s="43">
        <f>DATA!$B$8*((1+DATA!$B$9)^A42)*F43*E43</f>
        <v>5.9438530280061901E-4</v>
      </c>
      <c r="M43">
        <f>B42*EXP(RATES!Q44)*(DATA!$B$12)</f>
        <v>1021.9812054143024</v>
      </c>
      <c r="N43">
        <f>C42*EXP(RATES!Q44)*(DATA!$B$12)</f>
        <v>255.4953013535756</v>
      </c>
      <c r="O43">
        <f t="shared" si="3"/>
        <v>1277.4765067678779</v>
      </c>
      <c r="P43">
        <f t="shared" si="4"/>
        <v>6.8777139542213319E-3</v>
      </c>
      <c r="Q43">
        <f>RATES!I44</f>
        <v>0.45012103118456215</v>
      </c>
      <c r="R43" s="46">
        <f t="shared" si="5"/>
        <v>0.57830513750042878</v>
      </c>
      <c r="S43">
        <f t="shared" si="6"/>
        <v>0.26030730483102299</v>
      </c>
      <c r="T43">
        <f>C42*EXP(RATES!Q44)*(DATA!$B$6-DATA!$B$12)</f>
        <v>145.99731505918601</v>
      </c>
      <c r="U43">
        <f>B42*EXP(RATES!Q44)*(DATA!$B$6-DATA!$B$12)</f>
        <v>583.98926023674403</v>
      </c>
      <c r="V43">
        <f t="shared" si="7"/>
        <v>729.98657529593004</v>
      </c>
      <c r="W43">
        <f t="shared" si="8"/>
        <v>3.9301222595550453E-3</v>
      </c>
    </row>
    <row r="44" spans="1:23" x14ac:dyDescent="0.3">
      <c r="A44" s="5">
        <v>42</v>
      </c>
      <c r="B44">
        <f>B43*EXP(RATES!Q45)*(1-DATA!$B$6)</f>
        <v>71576.975873591218</v>
      </c>
      <c r="C44">
        <f>C43*EXP(RATES!Q45)*(1-DATA!$B$6)</f>
        <v>17894.243968397805</v>
      </c>
      <c r="D44">
        <f t="shared" si="1"/>
        <v>89471.219841989019</v>
      </c>
      <c r="E44">
        <f>E43*(1-'LIFE TABLE MALE'!D104/1000)</f>
        <v>2.2139168837298946E-3</v>
      </c>
      <c r="F44">
        <f t="shared" si="2"/>
        <v>1.08541265304656E-3</v>
      </c>
      <c r="G44">
        <f t="shared" si="0"/>
        <v>89451.219841989019</v>
      </c>
      <c r="H44">
        <f>MAX(D44,DATA!$B$3)</f>
        <v>100000</v>
      </c>
      <c r="I44">
        <f>G44*DATA!$B$7*F43*E44</f>
        <v>3.7932790549936285E-2</v>
      </c>
      <c r="J44">
        <f>H44*'LIFE TABLE MALE'!D104/1000*F43*E43</f>
        <v>0.25567535449618051</v>
      </c>
      <c r="K44">
        <f>0</f>
        <v>0</v>
      </c>
      <c r="L44" s="43">
        <f>DATA!$B$8*((1+DATA!$B$9)^A43)*F44*E44</f>
        <v>2.7060339368842708E-4</v>
      </c>
      <c r="M44">
        <f>B43*EXP(RATES!Q45)*(DATA!$B$12)</f>
        <v>1024.6192865340258</v>
      </c>
      <c r="N44">
        <f>C43*EXP(RATES!Q45)*(DATA!$B$12)</f>
        <v>256.15482163350646</v>
      </c>
      <c r="O44">
        <f t="shared" si="3"/>
        <v>1280.7741081675322</v>
      </c>
      <c r="P44">
        <f t="shared" si="4"/>
        <v>3.077717342242498E-3</v>
      </c>
      <c r="Q44">
        <f>RATES!I45</f>
        <v>0.43908494091056349</v>
      </c>
      <c r="R44" s="46">
        <f t="shared" si="5"/>
        <v>0.29695646578204771</v>
      </c>
      <c r="S44">
        <f t="shared" si="6"/>
        <v>0.1303891122309202</v>
      </c>
      <c r="T44">
        <f>C43*EXP(RATES!Q45)*(DATA!$B$6-DATA!$B$12)</f>
        <v>146.37418379057507</v>
      </c>
      <c r="U44">
        <f>B43*EXP(RATES!Q45)*(DATA!$B$6-DATA!$B$12)</f>
        <v>585.4967351623003</v>
      </c>
      <c r="V44">
        <f t="shared" si="7"/>
        <v>731.8709189528754</v>
      </c>
      <c r="W44">
        <f t="shared" si="8"/>
        <v>1.7586956241385698E-3</v>
      </c>
    </row>
    <row r="45" spans="1:23" x14ac:dyDescent="0.3">
      <c r="A45" s="5">
        <v>43</v>
      </c>
      <c r="B45">
        <f>B44*EXP(RATES!Q46)*(1-DATA!$B$6)</f>
        <v>71779.98971192044</v>
      </c>
      <c r="C45">
        <f>C44*EXP(RATES!Q46)*(1-DATA!$B$6)</f>
        <v>17944.99742798011</v>
      </c>
      <c r="D45">
        <f t="shared" si="1"/>
        <v>89724.98713990055</v>
      </c>
      <c r="E45">
        <f>E44*(1-'LIFE TABLE MALE'!D105/1000)</f>
        <v>1.0858367228099039E-3</v>
      </c>
      <c r="F45">
        <f t="shared" si="2"/>
        <v>9.2260075508957592E-4</v>
      </c>
      <c r="G45">
        <f t="shared" si="0"/>
        <v>89704.98713990055</v>
      </c>
      <c r="H45">
        <f>MAX(D45,DATA!$B$3)</f>
        <v>100000</v>
      </c>
      <c r="I45">
        <f>G45*DATA!$B$7*F44*E45</f>
        <v>1.5858687914961245E-2</v>
      </c>
      <c r="J45">
        <f>H45*'LIFE TABLE MALE'!D105/1000*F44*E44</f>
        <v>0.12244324803133572</v>
      </c>
      <c r="K45">
        <f>0</f>
        <v>0</v>
      </c>
      <c r="L45" s="43">
        <f>DATA!$B$8*((1+DATA!$B$9)^A44)*F45*E45</f>
        <v>1.1506826090247404E-4</v>
      </c>
      <c r="M45">
        <f>B44*EXP(RATES!Q46)*(DATA!$B$12)</f>
        <v>1027.5254150990656</v>
      </c>
      <c r="N45">
        <f>C44*EXP(RATES!Q46)*(DATA!$B$12)</f>
        <v>256.88135377476641</v>
      </c>
      <c r="O45">
        <f t="shared" si="3"/>
        <v>1284.4067688738321</v>
      </c>
      <c r="P45">
        <f t="shared" si="4"/>
        <v>1.2867107125208884E-3</v>
      </c>
      <c r="Q45">
        <f>RATES!I46</f>
        <v>0.42821053829189804</v>
      </c>
      <c r="R45" s="46">
        <f t="shared" si="5"/>
        <v>0.13970371491972033</v>
      </c>
      <c r="S45">
        <f t="shared" si="6"/>
        <v>5.9822602967151313E-2</v>
      </c>
      <c r="T45">
        <f>C44*EXP(RATES!Q46)*(DATA!$B$6-DATA!$B$12)</f>
        <v>146.78934501415222</v>
      </c>
      <c r="U45">
        <f>B44*EXP(RATES!Q46)*(DATA!$B$6-DATA!$B$12)</f>
        <v>587.15738005660887</v>
      </c>
      <c r="V45">
        <f t="shared" si="7"/>
        <v>733.94672507076109</v>
      </c>
      <c r="W45">
        <f t="shared" si="8"/>
        <v>7.3526326429765028E-4</v>
      </c>
    </row>
    <row r="46" spans="1:23" x14ac:dyDescent="0.3">
      <c r="A46" s="5">
        <v>44</v>
      </c>
      <c r="B46">
        <f>B45*EXP(RATES!Q47)*(1-DATA!$B$6)</f>
        <v>71970.830025284056</v>
      </c>
      <c r="C46">
        <f>C45*EXP(RATES!Q47)*(1-DATA!$B$6)</f>
        <v>17992.707506321014</v>
      </c>
      <c r="D46">
        <f t="shared" si="1"/>
        <v>89963.537531605078</v>
      </c>
      <c r="E46">
        <f>E45*(1-'LIFE TABLE MALE'!D106/1000)</f>
        <v>4.9467420147581884E-4</v>
      </c>
      <c r="F46">
        <f t="shared" si="2"/>
        <v>7.8421064182613946E-4</v>
      </c>
      <c r="G46">
        <f t="shared" si="0"/>
        <v>89943.537531605078</v>
      </c>
      <c r="H46">
        <f>MAX(D46,DATA!$B$3)</f>
        <v>100000</v>
      </c>
      <c r="I46">
        <f>G46*DATA!$B$7*F45*E46</f>
        <v>6.1573563806452446E-3</v>
      </c>
      <c r="J46">
        <f>H46*'LIFE TABLE MALE'!D106/1000*F45*E45</f>
        <v>5.4540698856348449E-2</v>
      </c>
      <c r="K46">
        <f>0</f>
        <v>0</v>
      </c>
      <c r="L46" s="43">
        <f>DATA!$B$8*((1+DATA!$B$9)^A45)*F46*E46</f>
        <v>4.5449528580294977E-5</v>
      </c>
      <c r="M46">
        <f>B45*EXP(RATES!Q47)*(DATA!$B$12)</f>
        <v>1030.2572805255386</v>
      </c>
      <c r="N46">
        <f>C45*EXP(RATES!Q47)*(DATA!$B$12)</f>
        <v>257.56432013138465</v>
      </c>
      <c r="O46">
        <f t="shared" si="3"/>
        <v>1287.8216006569232</v>
      </c>
      <c r="P46">
        <f t="shared" si="4"/>
        <v>4.9958305342976024E-4</v>
      </c>
      <c r="Q46">
        <f>RATES!I47</f>
        <v>0.41767942881635384</v>
      </c>
      <c r="R46" s="46">
        <f t="shared" si="5"/>
        <v>6.1243087819003748E-2</v>
      </c>
      <c r="S46">
        <f t="shared" si="6"/>
        <v>2.5579977939191284E-2</v>
      </c>
      <c r="T46">
        <f>C45*EXP(RATES!Q47)*(DATA!$B$6-DATA!$B$12)</f>
        <v>147.17961150364835</v>
      </c>
      <c r="U46">
        <f>B45*EXP(RATES!Q47)*(DATA!$B$6-DATA!$B$12)</f>
        <v>588.71844601459338</v>
      </c>
      <c r="V46">
        <f t="shared" si="7"/>
        <v>735.89805751824179</v>
      </c>
      <c r="W46">
        <f t="shared" si="8"/>
        <v>2.8547603053129158E-4</v>
      </c>
    </row>
    <row r="47" spans="1:23" x14ac:dyDescent="0.3">
      <c r="A47" s="6">
        <v>45</v>
      </c>
      <c r="B47">
        <f>B46*EXP(RATES!Q48)*(1-DATA!$B$6)</f>
        <v>72179.114437098047</v>
      </c>
      <c r="C47">
        <f>C46*EXP(RATES!Q48)*(1-DATA!$B$6)</f>
        <v>18044.778609274512</v>
      </c>
      <c r="D47">
        <f t="shared" si="1"/>
        <v>90223.893046372556</v>
      </c>
      <c r="E47">
        <f>E46*(1-'LIFE TABLE MALE'!D107/1000)</f>
        <v>2.0813801883623825E-4</v>
      </c>
      <c r="F47">
        <f t="shared" si="2"/>
        <v>6.6657904555221851E-4</v>
      </c>
      <c r="G47">
        <f t="shared" si="0"/>
        <v>90203.893046372556</v>
      </c>
      <c r="H47">
        <f>MAX(D47,DATA!$B$3)</f>
        <v>100000</v>
      </c>
      <c r="I47">
        <f>G47*DATA!$B$7*F46*E47</f>
        <v>2.2085167033890104E-3</v>
      </c>
      <c r="J47">
        <f>H47*'LIFE TABLE MALE'!D107/1000*F46*E46</f>
        <v>2.2470472369419743E-2</v>
      </c>
      <c r="K47">
        <f>0</f>
        <v>0</v>
      </c>
      <c r="L47" s="43">
        <f>DATA!$B$8*((1+DATA!$B$9)^A46)*F47*E47</f>
        <v>1.6579851462075104E-5</v>
      </c>
      <c r="M47">
        <f>B46*EXP(RATES!Q48)*(DATA!$B$12)</f>
        <v>1033.2388569727739</v>
      </c>
      <c r="N47">
        <f>C46*EXP(RATES!Q48)*(DATA!$B$12)</f>
        <v>258.30971424319347</v>
      </c>
      <c r="O47">
        <f t="shared" si="3"/>
        <v>1291.5485712159673</v>
      </c>
      <c r="P47">
        <f t="shared" si="4"/>
        <v>1.791900195561736E-4</v>
      </c>
      <c r="Q47">
        <f>RATES!I48</f>
        <v>0.40731171657889265</v>
      </c>
      <c r="R47" s="46">
        <f t="shared" si="5"/>
        <v>2.4874758943827003E-2</v>
      </c>
      <c r="S47">
        <f t="shared" si="6"/>
        <v>1.0131780764896339E-2</v>
      </c>
      <c r="T47">
        <f>C46*EXP(RATES!Q48)*(DATA!$B$6-DATA!$B$12)</f>
        <v>147.60555099611051</v>
      </c>
      <c r="U47">
        <f>B46*EXP(RATES!Q48)*(DATA!$B$6-DATA!$B$12)</f>
        <v>590.42220398444204</v>
      </c>
      <c r="V47">
        <f t="shared" si="7"/>
        <v>738.02775498055257</v>
      </c>
      <c r="W47">
        <f t="shared" si="8"/>
        <v>1.0239429688924201E-4</v>
      </c>
    </row>
    <row r="48" spans="1:23" x14ac:dyDescent="0.3">
      <c r="A48" s="5">
        <v>46</v>
      </c>
      <c r="B48">
        <f>B47*EXP(RATES!Q49)*(1-DATA!$B$6)</f>
        <v>72404.988347056613</v>
      </c>
      <c r="C48">
        <f>C47*EXP(RATES!Q49)*(1-DATA!$B$6)</f>
        <v>18101.247086764153</v>
      </c>
      <c r="D48">
        <f t="shared" si="1"/>
        <v>90506.235433820766</v>
      </c>
      <c r="E48">
        <f>E47*(1-'LIFE TABLE MALE'!D108/1000)</f>
        <v>8.0415959354706781E-5</v>
      </c>
      <c r="F48">
        <f t="shared" si="2"/>
        <v>5.665921887193857E-4</v>
      </c>
      <c r="G48">
        <f t="shared" si="0"/>
        <v>90486.235433820766</v>
      </c>
      <c r="H48">
        <f>MAX(D48,DATA!$B$3)</f>
        <v>100000</v>
      </c>
      <c r="I48">
        <f>G48*DATA!$B$7*F47*E48</f>
        <v>7.2755810633280433E-4</v>
      </c>
      <c r="J48">
        <f>H48*'LIFE TABLE MALE'!D108/1000*F47*E47</f>
        <v>8.5136848505162933E-3</v>
      </c>
      <c r="K48">
        <f>0</f>
        <v>0</v>
      </c>
      <c r="L48" s="43">
        <f>DATA!$B$8*((1+DATA!$B$9)^A47)*F48*E48</f>
        <v>5.5538041910564841E-6</v>
      </c>
      <c r="M48">
        <f>B47*EXP(RATES!Q49)*(DATA!$B$12)</f>
        <v>1036.4722258269862</v>
      </c>
      <c r="N48">
        <f>C47*EXP(RATES!Q49)*(DATA!$B$12)</f>
        <v>259.11805645674656</v>
      </c>
      <c r="O48">
        <f t="shared" si="3"/>
        <v>1295.5902822837329</v>
      </c>
      <c r="P48">
        <f t="shared" si="4"/>
        <v>5.9031050536100604E-5</v>
      </c>
      <c r="Q48">
        <f>RATES!I49</f>
        <v>0.39710816728046844</v>
      </c>
      <c r="R48" s="46">
        <f t="shared" si="5"/>
        <v>9.305827811576255E-3</v>
      </c>
      <c r="S48">
        <f t="shared" si="6"/>
        <v>3.6954202272826589E-3</v>
      </c>
      <c r="T48">
        <f>C47*EXP(RATES!Q49)*(DATA!$B$6-DATA!$B$12)</f>
        <v>148.06746083242658</v>
      </c>
      <c r="U48">
        <f>B47*EXP(RATES!Q49)*(DATA!$B$6-DATA!$B$12)</f>
        <v>592.2698433297063</v>
      </c>
      <c r="V48">
        <f t="shared" si="7"/>
        <v>740.33730416213291</v>
      </c>
      <c r="W48">
        <f t="shared" si="8"/>
        <v>3.3732028877771764E-5</v>
      </c>
    </row>
    <row r="49" spans="1:23" x14ac:dyDescent="0.3">
      <c r="A49" s="5">
        <v>47</v>
      </c>
      <c r="B49">
        <f>B48*EXP(RATES!Q50)*(1-DATA!$B$6)</f>
        <v>72648.609968371369</v>
      </c>
      <c r="C49">
        <f>C48*EXP(RATES!Q50)*(1-DATA!$B$6)</f>
        <v>18162.152492092842</v>
      </c>
      <c r="D49">
        <f t="shared" si="1"/>
        <v>90810.762460464204</v>
      </c>
      <c r="E49">
        <f>E48*(1-'LIFE TABLE MALE'!D109/1000)</f>
        <v>2.836260995277507E-5</v>
      </c>
      <c r="F49">
        <f t="shared" si="2"/>
        <v>4.8160336041147783E-4</v>
      </c>
      <c r="G49">
        <f t="shared" si="0"/>
        <v>90790.762460464204</v>
      </c>
      <c r="H49">
        <f>MAX(D49,DATA!$B$3)</f>
        <v>100000</v>
      </c>
      <c r="I49">
        <f>G49*DATA!$B$7*F48*E49</f>
        <v>2.1885158574263817E-4</v>
      </c>
      <c r="J49">
        <f>H49*'LIFE TABLE MALE'!D109/1000*F48*E48</f>
        <v>2.949302116781541E-3</v>
      </c>
      <c r="K49">
        <f>0</f>
        <v>0</v>
      </c>
      <c r="L49" s="43">
        <f>DATA!$B$8*((1+DATA!$B$9)^A48)*F49*E49</f>
        <v>1.6982968593746063E-6</v>
      </c>
      <c r="M49">
        <f>B48*EXP(RATES!Q50)*(DATA!$B$12)</f>
        <v>1039.9596518989767</v>
      </c>
      <c r="N49">
        <f>C48*EXP(RATES!Q50)*(DATA!$B$12)</f>
        <v>259.98991297474419</v>
      </c>
      <c r="O49">
        <f t="shared" si="3"/>
        <v>1299.9495648737209</v>
      </c>
      <c r="P49">
        <f t="shared" si="4"/>
        <v>1.7756697822252579E-5</v>
      </c>
      <c r="Q49">
        <f>RATES!I50</f>
        <v>0.38706941217137686</v>
      </c>
      <c r="R49" s="46">
        <f t="shared" si="5"/>
        <v>3.1876086972058067E-3</v>
      </c>
      <c r="S49">
        <f t="shared" si="6"/>
        <v>1.2338258246598201E-3</v>
      </c>
      <c r="T49">
        <f>C48*EXP(RATES!Q50)*(DATA!$B$6-DATA!$B$12)</f>
        <v>148.56566455699664</v>
      </c>
      <c r="U49">
        <f>B48*EXP(RATES!Q50)*(DATA!$B$6-DATA!$B$12)</f>
        <v>594.26265822798655</v>
      </c>
      <c r="V49">
        <f t="shared" si="7"/>
        <v>742.82832278498313</v>
      </c>
      <c r="W49">
        <f t="shared" si="8"/>
        <v>1.0146684469858612E-5</v>
      </c>
    </row>
    <row r="50" spans="1:23" x14ac:dyDescent="0.3">
      <c r="A50" s="5">
        <v>48</v>
      </c>
      <c r="B50">
        <f>B49*EXP(RATES!Q51)*(1-DATA!$B$6)</f>
        <v>72910.150512231645</v>
      </c>
      <c r="C50">
        <f>C49*EXP(RATES!Q51)*(1-DATA!$B$6)</f>
        <v>18227.537628057911</v>
      </c>
      <c r="D50">
        <f t="shared" si="1"/>
        <v>91137.688140289552</v>
      </c>
      <c r="E50">
        <f>E49*(1-'LIFE TABLE MALE'!D110/1000)</f>
        <v>9.0786411414904827E-6</v>
      </c>
      <c r="F50">
        <f t="shared" si="2"/>
        <v>4.0936285634975616E-4</v>
      </c>
      <c r="G50">
        <f t="shared" si="0"/>
        <v>91117.688140289552</v>
      </c>
      <c r="H50">
        <f>MAX(D50,DATA!$B$3)</f>
        <v>100000</v>
      </c>
      <c r="I50">
        <f>G50*DATA!$B$7*F49*E50</f>
        <v>5.9759135965788421E-5</v>
      </c>
      <c r="J50">
        <f>H50*'LIFE TABLE MALE'!D110/1000*F49*E49</f>
        <v>9.2872241815847897E-4</v>
      </c>
      <c r="K50">
        <f>0</f>
        <v>0</v>
      </c>
      <c r="L50" s="43">
        <f>DATA!$B$8*((1+DATA!$B$9)^A49)*F50*E50</f>
        <v>4.7131076692477652E-7</v>
      </c>
      <c r="M50">
        <f>B49*EXP(RATES!Q51)*(DATA!$B$12)</f>
        <v>1043.7035860646656</v>
      </c>
      <c r="N50">
        <f>C49*EXP(RATES!Q51)*(DATA!$B$12)</f>
        <v>260.9258965161664</v>
      </c>
      <c r="O50">
        <f t="shared" si="3"/>
        <v>1304.629482580832</v>
      </c>
      <c r="P50">
        <f t="shared" si="4"/>
        <v>4.8486012900381689E-6</v>
      </c>
      <c r="Q50">
        <f>RATES!I51</f>
        <v>0.3771959508750411</v>
      </c>
      <c r="R50" s="46">
        <f t="shared" si="5"/>
        <v>9.9380146618123044E-4</v>
      </c>
      <c r="S50">
        <f t="shared" si="6"/>
        <v>3.748578890172392E-4</v>
      </c>
      <c r="T50">
        <f>C49*EXP(RATES!Q51)*(DATA!$B$6-DATA!$B$12)</f>
        <v>149.10051229495221</v>
      </c>
      <c r="U50">
        <f>B49*EXP(RATES!Q51)*(DATA!$B$6-DATA!$B$12)</f>
        <v>596.40204917980884</v>
      </c>
      <c r="V50">
        <f t="shared" si="7"/>
        <v>745.50256147476102</v>
      </c>
      <c r="W50">
        <f t="shared" si="8"/>
        <v>2.7706293085932388E-6</v>
      </c>
    </row>
    <row r="51" spans="1:23" x14ac:dyDescent="0.3">
      <c r="A51" s="5">
        <v>49</v>
      </c>
      <c r="B51">
        <f>B50*EXP(RATES!Q52)*(1-DATA!$B$6)</f>
        <v>73154.66489334697</v>
      </c>
      <c r="C51">
        <f>C50*EXP(RATES!Q52)*(1-DATA!$B$6)</f>
        <v>18288.666223336742</v>
      </c>
      <c r="D51">
        <f t="shared" si="1"/>
        <v>91443.331116683708</v>
      </c>
      <c r="E51">
        <f>E50*(1-'LIFE TABLE MALE'!D111/1000)</f>
        <v>2.622101305262309E-6</v>
      </c>
      <c r="F51">
        <f t="shared" si="2"/>
        <v>3.4795842789729273E-4</v>
      </c>
      <c r="G51">
        <f t="shared" si="0"/>
        <v>91423.331116683708</v>
      </c>
      <c r="H51">
        <f>MAX(D51,DATA!$B$3)</f>
        <v>100000</v>
      </c>
      <c r="I51">
        <f>G51*DATA!$B$7*F50*E51</f>
        <v>1.4719945475440001E-5</v>
      </c>
      <c r="J51">
        <f>H51*'LIFE TABLE MALE'!D111/1000*F50*E50</f>
        <v>2.6430675894943521E-4</v>
      </c>
      <c r="K51">
        <f>0</f>
        <v>0</v>
      </c>
      <c r="L51" s="43">
        <f>DATA!$B$8*((1+DATA!$B$9)^A50)*F51*E51</f>
        <v>1.1801985469847796E-7</v>
      </c>
      <c r="M51">
        <f>B50*EXP(RATES!Q52)*(DATA!$B$12)</f>
        <v>1047.2037919293023</v>
      </c>
      <c r="N51">
        <f>C50*EXP(RATES!Q52)*(DATA!$B$12)</f>
        <v>261.80094798232557</v>
      </c>
      <c r="O51">
        <f t="shared" si="3"/>
        <v>1309.0047399116279</v>
      </c>
      <c r="P51">
        <f t="shared" si="4"/>
        <v>1.1943126871993908E-6</v>
      </c>
      <c r="Q51">
        <f>RATES!I52</f>
        <v>0.36766462524291854</v>
      </c>
      <c r="R51" s="46">
        <f t="shared" si="5"/>
        <v>2.8033903696677312E-4</v>
      </c>
      <c r="S51">
        <f t="shared" si="6"/>
        <v>1.0307074696734933E-4</v>
      </c>
      <c r="T51">
        <f>C50*EXP(RATES!Q52)*(DATA!$B$6-DATA!$B$12)</f>
        <v>149.60054170418601</v>
      </c>
      <c r="U51">
        <f>B50*EXP(RATES!Q52)*(DATA!$B$6-DATA!$B$12)</f>
        <v>598.40216681674406</v>
      </c>
      <c r="V51">
        <f t="shared" si="7"/>
        <v>748.00270852093013</v>
      </c>
      <c r="W51">
        <f t="shared" si="8"/>
        <v>6.8246439268536605E-7</v>
      </c>
    </row>
    <row r="52" spans="1:23" x14ac:dyDescent="0.3">
      <c r="A52" s="6">
        <v>50</v>
      </c>
      <c r="B52">
        <f>B51*EXP(RATES!Q53)*(1-DATA!$B$6)</f>
        <v>73415.780806889787</v>
      </c>
      <c r="C52">
        <f>C51*EXP(RATES!Q53)*(1-DATA!$B$6)</f>
        <v>18353.945201722447</v>
      </c>
      <c r="D52">
        <f t="shared" si="1"/>
        <v>91769.726008612226</v>
      </c>
      <c r="E52">
        <f>E51*(1-'LIFE TABLE MALE'!D112/1000)</f>
        <v>6.794887101443695E-7</v>
      </c>
      <c r="F52">
        <f t="shared" si="2"/>
        <v>2.957646637126988E-4</v>
      </c>
      <c r="G52">
        <f t="shared" si="0"/>
        <v>91749.726008612226</v>
      </c>
      <c r="H52">
        <f>MAX(D52,DATA!$B$3)</f>
        <v>100000</v>
      </c>
      <c r="I52">
        <f>G52*DATA!$B$7*F51*E52</f>
        <v>3.2539107768094082E-6</v>
      </c>
      <c r="J52">
        <f>H52*'LIFE TABLE MALE'!D112/1000*F51*E51</f>
        <v>6.7594842461071828E-5</v>
      </c>
      <c r="K52">
        <f>E52*D52*F52</f>
        <v>1.8442847110250362E-5</v>
      </c>
      <c r="L52" s="43">
        <f>DATA!$B$8*((1+DATA!$B$9)^A51)*F52*E52</f>
        <v>2.6515935358856599E-8</v>
      </c>
      <c r="M52">
        <f>B51*EXP(RATES!Q53)*(DATA!$B$12)</f>
        <v>1050.9416475423898</v>
      </c>
      <c r="N52">
        <f>C51*EXP(RATES!Q53)*(DATA!$B$12)</f>
        <v>262.73541188559744</v>
      </c>
      <c r="O52">
        <f t="shared" si="3"/>
        <v>1313.6770594279872</v>
      </c>
      <c r="P52">
        <f t="shared" si="4"/>
        <v>2.6400803634305228E-7</v>
      </c>
      <c r="Q52">
        <f>RATES!I53</f>
        <v>0.35829710928244829</v>
      </c>
      <c r="R52" s="46">
        <f t="shared" si="5"/>
        <v>8.9582124319833505E-5</v>
      </c>
      <c r="S52">
        <f t="shared" si="6"/>
        <v>3.2097016187177251E-5</v>
      </c>
      <c r="T52">
        <f>C51*EXP(RATES!Q53)*(DATA!$B$6-DATA!$B$12)</f>
        <v>150.13452107748421</v>
      </c>
      <c r="U52">
        <f>B51*EXP(RATES!Q53)*(DATA!$B$6-DATA!$B$12)</f>
        <v>600.53808430993683</v>
      </c>
      <c r="V52">
        <f>T52+U52</f>
        <v>750.67260538742107</v>
      </c>
      <c r="W52">
        <f t="shared" si="8"/>
        <v>1.5086173505317269E-7</v>
      </c>
    </row>
    <row r="56" spans="1:23" x14ac:dyDescent="0.3">
      <c r="P56" s="52" t="s">
        <v>56</v>
      </c>
      <c r="Q56" s="47">
        <f>SUM(S3:S52)</f>
        <v>94853.072851109377</v>
      </c>
      <c r="T56" s="56" t="s">
        <v>59</v>
      </c>
    </row>
    <row r="57" spans="1:23" x14ac:dyDescent="0.3">
      <c r="P57" s="54" t="s">
        <v>57</v>
      </c>
      <c r="Q57" s="48">
        <f>DATA!B2-Q56</f>
        <v>5146.9271488906234</v>
      </c>
      <c r="T57" s="52" t="s">
        <v>60</v>
      </c>
      <c r="U57" s="47">
        <f>SUMPRODUCT(J3:J52,Q3:Q52)</f>
        <v>6774.2895950654056</v>
      </c>
    </row>
    <row r="58" spans="1:23" x14ac:dyDescent="0.3">
      <c r="T58" s="53" t="s">
        <v>61</v>
      </c>
      <c r="U58" s="50">
        <f>SUMPRODUCT(I3:I52,Q3:Q52)</f>
        <v>81226.192594891254</v>
      </c>
    </row>
    <row r="59" spans="1:23" x14ac:dyDescent="0.3">
      <c r="P59" s="55" t="s">
        <v>58</v>
      </c>
      <c r="Q59" s="49">
        <f>SUMPRODUCT(S3:S52,A3:A52)/SUM(S3:S52)</f>
        <v>5.6400304992081587</v>
      </c>
      <c r="T59" s="53" t="s">
        <v>47</v>
      </c>
      <c r="U59" s="51">
        <f>SUMPRODUCT(L3:L52,Q3:Q52)</f>
        <v>262.3210777728566</v>
      </c>
    </row>
    <row r="60" spans="1:23" x14ac:dyDescent="0.3">
      <c r="T60" s="54" t="s">
        <v>48</v>
      </c>
      <c r="U60" s="48">
        <f>SUMPRODUCT(P3:P52,Q3:Q52)</f>
        <v>6590.2695767718515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BC45-3BD8-4859-B8F4-DA3971033524}">
  <dimension ref="A1:X60"/>
  <sheetViews>
    <sheetView topLeftCell="J1" zoomScale="70" zoomScaleNormal="70" workbookViewId="0">
      <selection activeCell="P61" sqref="P61:Q63"/>
    </sheetView>
  </sheetViews>
  <sheetFormatPr defaultColWidth="8.796875" defaultRowHeight="15.6" x14ac:dyDescent="0.3"/>
  <cols>
    <col min="2" max="4" width="11.796875" bestFit="1" customWidth="1"/>
    <col min="5" max="5" width="14" bestFit="1" customWidth="1"/>
    <col min="6" max="6" width="14.5" bestFit="1" customWidth="1"/>
    <col min="7" max="11" width="11.796875" bestFit="1" customWidth="1"/>
    <col min="12" max="12" width="9.296875" bestFit="1" customWidth="1"/>
    <col min="13" max="13" width="16.19921875" bestFit="1" customWidth="1"/>
    <col min="14" max="14" width="16.296875" bestFit="1" customWidth="1"/>
    <col min="15" max="15" width="17.296875" bestFit="1" customWidth="1"/>
    <col min="16" max="16" width="17.69921875" bestFit="1" customWidth="1"/>
    <col min="17" max="17" width="12" bestFit="1" customWidth="1"/>
    <col min="18" max="18" width="10.5" bestFit="1" customWidth="1"/>
    <col min="19" max="19" width="12.5" bestFit="1" customWidth="1"/>
    <col min="20" max="20" width="16.69921875" bestFit="1" customWidth="1"/>
  </cols>
  <sheetData>
    <row r="1" spans="1:24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  <c r="X1" s="9" t="s">
        <v>104</v>
      </c>
    </row>
    <row r="2" spans="1:24" x14ac:dyDescent="0.3">
      <c r="A2" s="41">
        <v>0</v>
      </c>
      <c r="B2">
        <f>DATA!B2*0.8</f>
        <v>80000</v>
      </c>
      <c r="C2">
        <f>DATA!B2*0.2</f>
        <v>20000</v>
      </c>
      <c r="D2">
        <f>B2+C2</f>
        <v>100000</v>
      </c>
      <c r="E2">
        <f>1</f>
        <v>1</v>
      </c>
      <c r="F2">
        <f>1</f>
        <v>1</v>
      </c>
      <c r="G2">
        <f>D2-20</f>
        <v>99980</v>
      </c>
      <c r="H2">
        <f>MAX(D2,DATA!$B$3)</f>
        <v>100000</v>
      </c>
      <c r="M2">
        <f>B2</f>
        <v>80000</v>
      </c>
      <c r="N2">
        <f>C2</f>
        <v>20000</v>
      </c>
      <c r="Q2">
        <f>RATES!G3</f>
        <v>1</v>
      </c>
    </row>
    <row r="3" spans="1:24" x14ac:dyDescent="0.3">
      <c r="A3" s="5">
        <v>1</v>
      </c>
      <c r="B3">
        <f>B2*EXP(RATES!O4)*(1-DATA!$B$6)</f>
        <v>80989.353600000002</v>
      </c>
      <c r="C3">
        <f>C2*EXP(RATES!O4)*(1-DATA!$B$6)</f>
        <v>20247.338400000001</v>
      </c>
      <c r="D3">
        <f>B3+C3</f>
        <v>101236.69200000001</v>
      </c>
      <c r="E3">
        <f>E2*(1-'LIFE TABLE MALE'!D63/1000)</f>
        <v>0.99353212999999996</v>
      </c>
      <c r="F3">
        <f>F2*(1-0.15)</f>
        <v>0.85</v>
      </c>
      <c r="G3">
        <f t="shared" ref="G3:G52" si="0">D3-20</f>
        <v>101216.69200000001</v>
      </c>
      <c r="H3">
        <f>MAX(D3,DATA!$B$3)</f>
        <v>101236.69200000001</v>
      </c>
      <c r="I3">
        <f>G3*DATA!$B$7*F2*E3</f>
        <v>15084.305339147093</v>
      </c>
      <c r="J3">
        <f>H3*'LIFE TABLE MALE'!D63/1000*F2*E2</f>
        <v>654.78576308603999</v>
      </c>
      <c r="K3">
        <f>0</f>
        <v>0</v>
      </c>
      <c r="L3" s="43">
        <f>DATA!$B$8*1.1*((1+DATA!$B$9+0.01)^A2)*F3*E3</f>
        <v>46.447627077500002</v>
      </c>
      <c r="M3">
        <f>B2*EXP(RATES!O4)*(DATA!$B$12)</f>
        <v>1159.3568</v>
      </c>
      <c r="N3">
        <f>C2*EXP(RATES!O4)*(DATA!$B$12)</f>
        <v>289.83920000000001</v>
      </c>
      <c r="O3">
        <f>M3+N3</f>
        <v>1449.1959999999999</v>
      </c>
      <c r="P3">
        <f>O3*E3*F3</f>
        <v>1223.849370367358</v>
      </c>
      <c r="Q3">
        <f>RATES!G4</f>
        <v>0.96605290105686192</v>
      </c>
      <c r="R3" s="43">
        <f>P3+L3+K3+J3+I3</f>
        <v>17009.388099677992</v>
      </c>
      <c r="S3">
        <f>R3*Q3</f>
        <v>16431.968718895987</v>
      </c>
      <c r="T3">
        <f>C2*EXP(RATES!O4)*(DATA!$B$6-DATA!$B$12)</f>
        <v>165.62239999999997</v>
      </c>
      <c r="U3">
        <f>B2*EXP(RATES!O4)*(DATA!$B$6-DATA!$B$12)</f>
        <v>662.48959999999988</v>
      </c>
      <c r="V3">
        <f>T3+U3</f>
        <v>828.11199999999985</v>
      </c>
      <c r="W3">
        <f>V3*E3*F3</f>
        <v>699.34249735277581</v>
      </c>
      <c r="X3">
        <f>W3*BASE!Q3</f>
        <v>675.60184839999988</v>
      </c>
    </row>
    <row r="4" spans="1:24" x14ac:dyDescent="0.3">
      <c r="A4" s="5">
        <v>2</v>
      </c>
      <c r="B4">
        <f>B3*EXP(RATES!O5)*(1-DATA!$B$6)</f>
        <v>81233.889418663224</v>
      </c>
      <c r="C4">
        <f>C3*EXP(RATES!O5)*(1-DATA!$B$6)</f>
        <v>20308.472354665806</v>
      </c>
      <c r="D4">
        <f t="shared" ref="D4:D52" si="1">B4+C4</f>
        <v>101542.36177332903</v>
      </c>
      <c r="E4">
        <f>E3*(1-'LIFE TABLE MALE'!D64/1000)</f>
        <v>0.98647779355864618</v>
      </c>
      <c r="F4">
        <f t="shared" ref="F4:F52" si="2">F3*(1-0.15)</f>
        <v>0.72249999999999992</v>
      </c>
      <c r="G4">
        <f t="shared" si="0"/>
        <v>101522.36177332903</v>
      </c>
      <c r="H4">
        <f>MAX(D4,DATA!$B$3)</f>
        <v>101542.36177332903</v>
      </c>
      <c r="I4">
        <f>G4*DATA!$B$7*F3*E4</f>
        <v>12769.068318474574</v>
      </c>
      <c r="J4">
        <f>H4*'LIFE TABLE MALE'!D64/1000*F3*E3</f>
        <v>608.86688554891703</v>
      </c>
      <c r="K4">
        <f>0</f>
        <v>0</v>
      </c>
      <c r="L4" s="43">
        <f>DATA!$B$8*1.1*((1+DATA!$B$9+0.01)^A3)*F4*E4</f>
        <v>40.376166161182802</v>
      </c>
      <c r="M4">
        <f>B3*EXP(RATES!O5)*(DATA!$B$12)</f>
        <v>1162.8573127416005</v>
      </c>
      <c r="N4">
        <f>C3*EXP(RATES!O5)*(DATA!$B$12)</f>
        <v>290.71432818540012</v>
      </c>
      <c r="O4">
        <f t="shared" ref="O4:O52" si="3">M4+N4</f>
        <v>1453.5716409270005</v>
      </c>
      <c r="P4">
        <f t="shared" ref="P4:P52" si="4">O4*E4*F4</f>
        <v>1036.0044148499862</v>
      </c>
      <c r="Q4">
        <f>RATES!G5</f>
        <v>0.94195563634332236</v>
      </c>
      <c r="R4" s="43">
        <f t="shared" ref="R4:R52" si="5">P4+L4+K4+J4+I4</f>
        <v>14454.31578503466</v>
      </c>
      <c r="S4">
        <f t="shared" ref="S4:S52" si="6">R4*Q4</f>
        <v>13615.324223199652</v>
      </c>
      <c r="T4">
        <f>C3*EXP(RATES!O5)*(DATA!$B$6-DATA!$B$12)</f>
        <v>166.12247324880002</v>
      </c>
      <c r="U4">
        <f>B3*EXP(RATES!O5)*(DATA!$B$6-DATA!$B$12)</f>
        <v>664.48989299520008</v>
      </c>
      <c r="V4">
        <f t="shared" ref="V4:V51" si="7">T4+U4</f>
        <v>830.6123662440001</v>
      </c>
      <c r="W4">
        <f t="shared" ref="W4:W52" si="8">V4*E4*F4</f>
        <v>592.00252277142056</v>
      </c>
      <c r="X4">
        <f>W4*BASE!Q4</f>
        <v>557.64011305400561</v>
      </c>
    </row>
    <row r="5" spans="1:24" x14ac:dyDescent="0.3">
      <c r="A5" s="5">
        <v>3</v>
      </c>
      <c r="B5">
        <f>B4*EXP(RATES!O6)*(1-DATA!$B$6)</f>
        <v>81258.802918728528</v>
      </c>
      <c r="C5">
        <f>C4*EXP(RATES!O6)*(1-DATA!$B$6)</f>
        <v>20314.700729682132</v>
      </c>
      <c r="D5">
        <f t="shared" si="1"/>
        <v>101573.50364841067</v>
      </c>
      <c r="E5">
        <f>E4*(1-'LIFE TABLE MALE'!D65/1000)</f>
        <v>0.97876837095420599</v>
      </c>
      <c r="F5">
        <f t="shared" si="2"/>
        <v>0.61412499999999992</v>
      </c>
      <c r="G5">
        <f t="shared" si="0"/>
        <v>101553.50364841067</v>
      </c>
      <c r="H5">
        <f>MAX(D5,DATA!$B$3)</f>
        <v>101573.50364841067</v>
      </c>
      <c r="I5">
        <f>G5*DATA!$B$7*F4*E5</f>
        <v>10772.188600708858</v>
      </c>
      <c r="J5">
        <f>H5*'LIFE TABLE MALE'!D65/1000*F4*E4</f>
        <v>565.77028949085366</v>
      </c>
      <c r="K5">
        <f>0</f>
        <v>0</v>
      </c>
      <c r="L5" s="43">
        <f>DATA!$B$8*1.1*((1+DATA!$B$9+0.01)^A4)*F5*E5</f>
        <v>35.073074898081984</v>
      </c>
      <c r="M5">
        <f>B4*EXP(RATES!O6)*(DATA!$B$12)</f>
        <v>1163.2139477118603</v>
      </c>
      <c r="N5">
        <f>C4*EXP(RATES!O6)*(DATA!$B$12)</f>
        <v>290.80348692796508</v>
      </c>
      <c r="O5">
        <f t="shared" si="3"/>
        <v>1454.0174346398253</v>
      </c>
      <c r="P5">
        <f t="shared" si="4"/>
        <v>873.98970665112142</v>
      </c>
      <c r="Q5">
        <f>RATES!G6</f>
        <v>0.92095016751412107</v>
      </c>
      <c r="R5" s="43">
        <f t="shared" si="5"/>
        <v>12247.021671748915</v>
      </c>
      <c r="S5">
        <f t="shared" si="6"/>
        <v>11278.896660146234</v>
      </c>
      <c r="T5">
        <f>C4*EXP(RATES!O6)*(DATA!$B$6-DATA!$B$12)</f>
        <v>166.17342110169432</v>
      </c>
      <c r="U5">
        <f>B4*EXP(RATES!O6)*(DATA!$B$6-DATA!$B$12)</f>
        <v>664.69368440677727</v>
      </c>
      <c r="V5">
        <f t="shared" si="7"/>
        <v>830.86710550847158</v>
      </c>
      <c r="W5">
        <f t="shared" si="8"/>
        <v>499.42268951492656</v>
      </c>
      <c r="X5">
        <f>W5*BASE!Q5</f>
        <v>459.94340956912447</v>
      </c>
    </row>
    <row r="6" spans="1:24" x14ac:dyDescent="0.3">
      <c r="A6" s="5">
        <v>4</v>
      </c>
      <c r="B6">
        <f>B5*EXP(RATES!O7)*(1-DATA!$B$6)</f>
        <v>81219.666893987174</v>
      </c>
      <c r="C6">
        <f>C5*EXP(RATES!O7)*(1-DATA!$B$6)</f>
        <v>20304.916723496794</v>
      </c>
      <c r="D6">
        <f t="shared" si="1"/>
        <v>101524.58361748396</v>
      </c>
      <c r="E6">
        <f>E5*(1-'LIFE TABLE MALE'!D66/1000)</f>
        <v>0.97028747025977602</v>
      </c>
      <c r="F6">
        <f t="shared" si="2"/>
        <v>0.52200624999999989</v>
      </c>
      <c r="G6">
        <f t="shared" si="0"/>
        <v>101504.58361748396</v>
      </c>
      <c r="H6">
        <f>MAX(D6,DATA!$B$3)</f>
        <v>101524.58361748396</v>
      </c>
      <c r="I6">
        <f>G6*DATA!$B$7*F5*E6</f>
        <v>9072.6490848310841</v>
      </c>
      <c r="J6">
        <f>H6*'LIFE TABLE MALE'!D66/1000*F5*E5</f>
        <v>528.77385327474815</v>
      </c>
      <c r="K6">
        <f>0</f>
        <v>0</v>
      </c>
      <c r="L6" s="43">
        <f>DATA!$B$8*1.1*((1+DATA!$B$9+0.01)^A5)*F6*E6</f>
        <v>30.440409441272905</v>
      </c>
      <c r="M6">
        <f>B5*EXP(RATES!O7)*(DATA!$B$12)</f>
        <v>1162.6537183188348</v>
      </c>
      <c r="N6">
        <f>C5*EXP(RATES!O7)*(DATA!$B$12)</f>
        <v>290.66342957970869</v>
      </c>
      <c r="O6">
        <f t="shared" si="3"/>
        <v>1453.3171478985435</v>
      </c>
      <c r="P6">
        <f t="shared" si="4"/>
        <v>736.09950202241521</v>
      </c>
      <c r="Q6">
        <f>RATES!G7</f>
        <v>0.90112326459071324</v>
      </c>
      <c r="R6" s="43">
        <f t="shared" si="5"/>
        <v>10367.96284956952</v>
      </c>
      <c r="S6">
        <f t="shared" si="6"/>
        <v>9342.8125301593191</v>
      </c>
      <c r="T6">
        <f>C5*EXP(RATES!O7)*(DATA!$B$6-DATA!$B$12)</f>
        <v>166.09338833126208</v>
      </c>
      <c r="U6">
        <f>B5*EXP(RATES!O7)*(DATA!$B$6-DATA!$B$12)</f>
        <v>664.37355332504831</v>
      </c>
      <c r="V6">
        <f t="shared" si="7"/>
        <v>830.46694165631038</v>
      </c>
      <c r="W6">
        <f t="shared" si="8"/>
        <v>420.62828686995147</v>
      </c>
      <c r="X6">
        <f>W6*BASE!Q6</f>
        <v>379.03793504344969</v>
      </c>
    </row>
    <row r="7" spans="1:24" x14ac:dyDescent="0.3">
      <c r="A7" s="6">
        <v>5</v>
      </c>
      <c r="B7">
        <f>B6*EXP(RATES!O8)*(1-DATA!$B$6)</f>
        <v>81178.572400251767</v>
      </c>
      <c r="C7">
        <f>C6*EXP(RATES!O8)*(1-DATA!$B$6)</f>
        <v>20294.643100062942</v>
      </c>
      <c r="D7">
        <f t="shared" si="1"/>
        <v>101473.21550031471</v>
      </c>
      <c r="E7">
        <f>E6*(1-'LIFE TABLE MALE'!D67/1000)</f>
        <v>0.9609215763955995</v>
      </c>
      <c r="F7">
        <f t="shared" si="2"/>
        <v>0.44370531249999989</v>
      </c>
      <c r="G7">
        <f t="shared" si="0"/>
        <v>101453.21550031471</v>
      </c>
      <c r="H7">
        <f>MAX(D7,DATA!$B$3)</f>
        <v>101473.21550031471</v>
      </c>
      <c r="I7">
        <f>G7*DATA!$B$7*F6*E7</f>
        <v>7633.4475046572315</v>
      </c>
      <c r="J7">
        <f>H7*'LIFE TABLE MALE'!D67/1000*F6*E6</f>
        <v>496.10814519888925</v>
      </c>
      <c r="K7">
        <f>0</f>
        <v>0</v>
      </c>
      <c r="L7" s="43">
        <f>DATA!$B$8*1.1*((1+DATA!$B$9+0.01)^A6)*F7*E7</f>
        <v>26.393328427077265</v>
      </c>
      <c r="M7">
        <f>B6*EXP(RATES!O8)*(DATA!$B$12)</f>
        <v>1162.0654535823362</v>
      </c>
      <c r="N7">
        <f>C6*EXP(RATES!O8)*(DATA!$B$12)</f>
        <v>290.51636339558405</v>
      </c>
      <c r="O7">
        <f t="shared" si="3"/>
        <v>1452.5818169779202</v>
      </c>
      <c r="P7">
        <f t="shared" si="4"/>
        <v>619.33151109591984</v>
      </c>
      <c r="Q7">
        <f>RATES!G8</f>
        <v>0.88174468672828554</v>
      </c>
      <c r="R7" s="43">
        <f t="shared" si="5"/>
        <v>8775.2804893791181</v>
      </c>
      <c r="S7">
        <f t="shared" si="6"/>
        <v>7737.5569460604265</v>
      </c>
      <c r="T7">
        <f>C6*EXP(RATES!O8)*(DATA!$B$6-DATA!$B$12)</f>
        <v>166.00935051176228</v>
      </c>
      <c r="U7">
        <f>B6*EXP(RATES!O8)*(DATA!$B$6-DATA!$B$12)</f>
        <v>664.03740204704911</v>
      </c>
      <c r="V7">
        <f t="shared" si="7"/>
        <v>830.04675255881136</v>
      </c>
      <c r="W7">
        <f t="shared" si="8"/>
        <v>353.90372062623987</v>
      </c>
      <c r="X7">
        <f>W7*BASE!Q7</f>
        <v>312.05272527555854</v>
      </c>
    </row>
    <row r="8" spans="1:24" x14ac:dyDescent="0.3">
      <c r="A8" s="5">
        <v>6</v>
      </c>
      <c r="B8">
        <f>B7*EXP(RATES!O9)*(1-DATA!$B$6)</f>
        <v>81192.731414463822</v>
      </c>
      <c r="C8">
        <f>C7*EXP(RATES!O9)*(1-DATA!$B$6)</f>
        <v>20298.182853615956</v>
      </c>
      <c r="D8">
        <f t="shared" si="1"/>
        <v>101490.91426807978</v>
      </c>
      <c r="E8">
        <f>E7*(1-'LIFE TABLE MALE'!D68/1000)</f>
        <v>0.95054816852958335</v>
      </c>
      <c r="F8">
        <f t="shared" si="2"/>
        <v>0.37714951562499988</v>
      </c>
      <c r="G8">
        <f t="shared" si="0"/>
        <v>101470.91426807978</v>
      </c>
      <c r="H8">
        <f>MAX(D8,DATA!$B$3)</f>
        <v>101490.91426807978</v>
      </c>
      <c r="I8">
        <f>G8*DATA!$B$7*F7*E8</f>
        <v>6419.5057246724646</v>
      </c>
      <c r="J8">
        <f>H8*'LIFE TABLE MALE'!D68/1000*F7*E7</f>
        <v>467.13590292936431</v>
      </c>
      <c r="K8">
        <f>0</f>
        <v>0</v>
      </c>
      <c r="L8" s="43">
        <f>DATA!$B$8*1.1*((1+DATA!$B$9+0.01)^A7)*F8*E8</f>
        <v>22.857908858105006</v>
      </c>
      <c r="M8">
        <f>B7*EXP(RATES!O9)*(DATA!$B$12)</f>
        <v>1162.2681388573553</v>
      </c>
      <c r="N8">
        <f>C7*EXP(RATES!O9)*(DATA!$B$12)</f>
        <v>290.56703471433883</v>
      </c>
      <c r="O8">
        <f t="shared" si="3"/>
        <v>1452.8351735716942</v>
      </c>
      <c r="P8">
        <f t="shared" si="4"/>
        <v>520.83963921212387</v>
      </c>
      <c r="Q8">
        <f>RATES!G9</f>
        <v>0.86219592102620646</v>
      </c>
      <c r="R8" s="43">
        <f t="shared" si="5"/>
        <v>7430.3391756720575</v>
      </c>
      <c r="S8">
        <f t="shared" si="6"/>
        <v>6406.4081291056737</v>
      </c>
      <c r="T8">
        <f>C7*EXP(RATES!O9)*(DATA!$B$6-DATA!$B$12)</f>
        <v>166.03830555105071</v>
      </c>
      <c r="U8">
        <f>B7*EXP(RATES!O9)*(DATA!$B$6-DATA!$B$12)</f>
        <v>664.15322220420285</v>
      </c>
      <c r="V8">
        <f t="shared" si="7"/>
        <v>830.19152775525356</v>
      </c>
      <c r="W8">
        <f t="shared" si="8"/>
        <v>297.62265097835643</v>
      </c>
      <c r="X8">
        <f>W8*BASE!Q8</f>
        <v>256.60903567854518</v>
      </c>
    </row>
    <row r="9" spans="1:24" x14ac:dyDescent="0.3">
      <c r="A9" s="5">
        <v>7</v>
      </c>
      <c r="B9">
        <f>B8*EXP(RATES!O10)*(1-DATA!$B$6)</f>
        <v>81254.382012178379</v>
      </c>
      <c r="C9">
        <f>C8*EXP(RATES!O10)*(1-DATA!$B$6)</f>
        <v>20313.595503044595</v>
      </c>
      <c r="D9">
        <f t="shared" si="1"/>
        <v>101567.97751522297</v>
      </c>
      <c r="E9">
        <f>E8*(1-'LIFE TABLE MALE'!D69/1000)</f>
        <v>0.93939989246654454</v>
      </c>
      <c r="F9">
        <f t="shared" si="2"/>
        <v>0.32057708828124987</v>
      </c>
      <c r="G9">
        <f t="shared" si="0"/>
        <v>101547.97751522297</v>
      </c>
      <c r="H9">
        <f>MAX(D9,DATA!$B$3)</f>
        <v>101567.97751522297</v>
      </c>
      <c r="I9">
        <f>G9*DATA!$B$7*F8*E9</f>
        <v>5396.6791379838251</v>
      </c>
      <c r="J9">
        <f>H9*'LIFE TABLE MALE'!D69/1000*F8*E8</f>
        <v>427.04935811035057</v>
      </c>
      <c r="K9">
        <f>0</f>
        <v>0</v>
      </c>
      <c r="L9" s="43">
        <f>DATA!$B$8*1.1*((1+DATA!$B$9+0.01)^A8)*F9*E9</f>
        <v>19.777392102645717</v>
      </c>
      <c r="M9">
        <f>B8*EXP(RATES!O10)*(DATA!$B$12)</f>
        <v>1163.1506627510198</v>
      </c>
      <c r="N9">
        <f>C8*EXP(RATES!O10)*(DATA!$B$12)</f>
        <v>290.78766568775495</v>
      </c>
      <c r="O9">
        <f t="shared" si="3"/>
        <v>1453.9383284387748</v>
      </c>
      <c r="P9">
        <f t="shared" si="4"/>
        <v>437.85364720833252</v>
      </c>
      <c r="Q9">
        <f>RATES!G10</f>
        <v>0.84258782390013232</v>
      </c>
      <c r="R9" s="43">
        <f t="shared" si="5"/>
        <v>6281.359535405154</v>
      </c>
      <c r="S9">
        <f t="shared" si="6"/>
        <v>5292.5970620713751</v>
      </c>
      <c r="T9">
        <f>C8*EXP(RATES!O10)*(DATA!$B$6-DATA!$B$12)</f>
        <v>166.1643803930028</v>
      </c>
      <c r="U9">
        <f>B8*EXP(RATES!O10)*(DATA!$B$6-DATA!$B$12)</f>
        <v>664.65752157201121</v>
      </c>
      <c r="V9">
        <f t="shared" si="7"/>
        <v>830.82190196501404</v>
      </c>
      <c r="W9">
        <f t="shared" si="8"/>
        <v>250.2020841190471</v>
      </c>
      <c r="X9">
        <f>W9*BASE!Q9</f>
        <v>210.81722959314575</v>
      </c>
    </row>
    <row r="10" spans="1:24" x14ac:dyDescent="0.3">
      <c r="A10" s="5">
        <v>8</v>
      </c>
      <c r="B10">
        <f>B9*EXP(RATES!O11)*(1-DATA!$B$6)</f>
        <v>81365.273383019157</v>
      </c>
      <c r="C10">
        <f>C9*EXP(RATES!O11)*(1-DATA!$B$6)</f>
        <v>20341.318345754789</v>
      </c>
      <c r="D10">
        <f t="shared" si="1"/>
        <v>101706.59172877394</v>
      </c>
      <c r="E10">
        <f>E9*(1-'LIFE TABLE MALE'!D70/1000)</f>
        <v>0.9273775090067512</v>
      </c>
      <c r="F10">
        <f t="shared" si="2"/>
        <v>0.2724905250390624</v>
      </c>
      <c r="G10">
        <f t="shared" si="0"/>
        <v>101686.59172877394</v>
      </c>
      <c r="H10">
        <f>MAX(D10,DATA!$B$3)</f>
        <v>101706.59172877394</v>
      </c>
      <c r="I10">
        <f>G10*DATA!$B$7*F9*E10</f>
        <v>4534.6522651518371</v>
      </c>
      <c r="J10">
        <f>H10*'LIFE TABLE MALE'!D70/1000*F9*E9</f>
        <v>391.98744472285392</v>
      </c>
      <c r="K10">
        <f>0</f>
        <v>0</v>
      </c>
      <c r="L10" s="43">
        <f>DATA!$B$8*1.1*((1+DATA!$B$9+0.01)^A9)*F10*E10</f>
        <v>17.093509088127217</v>
      </c>
      <c r="M10">
        <f>B9*EXP(RATES!O11)*(DATA!$B$12)</f>
        <v>1164.7380647875952</v>
      </c>
      <c r="N10">
        <f>C9*EXP(RATES!O11)*(DATA!$B$12)</f>
        <v>291.18451619689881</v>
      </c>
      <c r="O10">
        <f t="shared" si="3"/>
        <v>1455.9225809844941</v>
      </c>
      <c r="P10">
        <f t="shared" si="4"/>
        <v>367.91394288922356</v>
      </c>
      <c r="Q10">
        <f>RATES!G11</f>
        <v>0.82292780659029441</v>
      </c>
      <c r="R10" s="43">
        <f t="shared" si="5"/>
        <v>5311.6471618520418</v>
      </c>
      <c r="S10">
        <f t="shared" si="6"/>
        <v>4371.1021482844635</v>
      </c>
      <c r="T10">
        <f>C9*EXP(RATES!O11)*(DATA!$B$6-DATA!$B$12)</f>
        <v>166.39115211251357</v>
      </c>
      <c r="U10">
        <f>B9*EXP(RATES!O11)*(DATA!$B$6-DATA!$B$12)</f>
        <v>665.56460845005427</v>
      </c>
      <c r="V10">
        <f t="shared" si="7"/>
        <v>831.95576056256778</v>
      </c>
      <c r="W10">
        <f t="shared" si="8"/>
        <v>210.23653879384193</v>
      </c>
      <c r="X10">
        <f>W10*BASE!Q10</f>
        <v>173.00949373475169</v>
      </c>
    </row>
    <row r="11" spans="1:24" x14ac:dyDescent="0.3">
      <c r="A11" s="5">
        <v>9</v>
      </c>
      <c r="B11">
        <f>B10*EXP(RATES!O12)*(1-DATA!$B$6)</f>
        <v>81523.24029763104</v>
      </c>
      <c r="C11">
        <f>C10*EXP(RATES!O12)*(1-DATA!$B$6)</f>
        <v>20380.81007440776</v>
      </c>
      <c r="D11">
        <f t="shared" si="1"/>
        <v>101904.05037203879</v>
      </c>
      <c r="E11">
        <f>E10*(1-'LIFE TABLE MALE'!D71/1000)</f>
        <v>0.91441741759215689</v>
      </c>
      <c r="F11">
        <f t="shared" si="2"/>
        <v>0.23161694628320303</v>
      </c>
      <c r="G11">
        <f t="shared" si="0"/>
        <v>101884.05037203879</v>
      </c>
      <c r="H11">
        <f>MAX(D11,DATA!$B$3)</f>
        <v>101904.05037203879</v>
      </c>
      <c r="I11">
        <f>G11*DATA!$B$7*F10*E11</f>
        <v>3807.9685812856715</v>
      </c>
      <c r="J11">
        <f>H11*'LIFE TABLE MALE'!D71/1000*F10*E10</f>
        <v>359.87436932594375</v>
      </c>
      <c r="K11">
        <f>0</f>
        <v>0</v>
      </c>
      <c r="L11" s="43">
        <f>DATA!$B$8*1.1*((1+DATA!$B$9+0.01)^A10)*F11*E11</f>
        <v>14.756226349596041</v>
      </c>
      <c r="M11">
        <f>B10*EXP(RATES!O12)*(DATA!$B$12)</f>
        <v>1166.9993498638389</v>
      </c>
      <c r="N11">
        <f>C10*EXP(RATES!O12)*(DATA!$B$12)</f>
        <v>291.74983746595973</v>
      </c>
      <c r="O11">
        <f t="shared" si="3"/>
        <v>1458.7491873297986</v>
      </c>
      <c r="P11">
        <f t="shared" si="4"/>
        <v>308.95515670916768</v>
      </c>
      <c r="Q11">
        <f>RATES!G12</f>
        <v>0.80326389514893892</v>
      </c>
      <c r="R11" s="43">
        <f t="shared" si="5"/>
        <v>4491.5543336703786</v>
      </c>
      <c r="S11">
        <f t="shared" si="6"/>
        <v>3607.9034293371651</v>
      </c>
      <c r="T11">
        <f>C10*EXP(RATES!O12)*(DATA!$B$6-DATA!$B$12)</f>
        <v>166.71419283769126</v>
      </c>
      <c r="U11">
        <f>B10*EXP(RATES!O12)*(DATA!$B$6-DATA!$B$12)</f>
        <v>666.85677135076503</v>
      </c>
      <c r="V11">
        <f t="shared" si="7"/>
        <v>833.57096418845629</v>
      </c>
      <c r="W11">
        <f t="shared" si="8"/>
        <v>176.54580383381011</v>
      </c>
      <c r="X11">
        <f>W11*BASE!Q11</f>
        <v>141.81287005974679</v>
      </c>
    </row>
    <row r="12" spans="1:24" x14ac:dyDescent="0.3">
      <c r="A12" s="6">
        <v>10</v>
      </c>
      <c r="B12">
        <f>B11*EXP(RATES!O13)*(1-DATA!$B$6)</f>
        <v>81742.119978905175</v>
      </c>
      <c r="C12">
        <f>C11*EXP(RATES!O13)*(1-DATA!$B$6)</f>
        <v>20435.529994726294</v>
      </c>
      <c r="D12">
        <f t="shared" si="1"/>
        <v>102177.64997363147</v>
      </c>
      <c r="E12">
        <f>E11*(1-'LIFE TABLE MALE'!D72/1000)</f>
        <v>0.90009759511179277</v>
      </c>
      <c r="F12">
        <f t="shared" si="2"/>
        <v>0.19687440434072256</v>
      </c>
      <c r="G12">
        <f t="shared" si="0"/>
        <v>102157.64997363147</v>
      </c>
      <c r="H12">
        <f>MAX(D12,DATA!$B$3)</f>
        <v>102177.64997363147</v>
      </c>
      <c r="I12">
        <f>G12*DATA!$B$7*F11*E12</f>
        <v>3194.641181233852</v>
      </c>
      <c r="J12">
        <f>H12*'LIFE TABLE MALE'!D72/1000*F11*E11</f>
        <v>338.89399660583769</v>
      </c>
      <c r="K12">
        <f>0</f>
        <v>0</v>
      </c>
      <c r="L12" s="43">
        <f>DATA!$B$8*1.1*((1+DATA!$B$9+0.01)^A11)*F12*E12</f>
        <v>12.716762790309865</v>
      </c>
      <c r="M12">
        <f>B11*EXP(RATES!O13)*(DATA!$B$12)</f>
        <v>1170.1325968350434</v>
      </c>
      <c r="N12">
        <f>C11*EXP(RATES!O13)*(DATA!$B$12)</f>
        <v>292.53314920876085</v>
      </c>
      <c r="O12">
        <f t="shared" si="3"/>
        <v>1462.6657460438041</v>
      </c>
      <c r="P12">
        <f t="shared" si="4"/>
        <v>259.19340638141824</v>
      </c>
      <c r="Q12">
        <f>RATES!G13</f>
        <v>0.78348852098697186</v>
      </c>
      <c r="R12" s="43">
        <f t="shared" si="5"/>
        <v>3805.4453470114177</v>
      </c>
      <c r="S12">
        <f t="shared" si="6"/>
        <v>2981.5227466267297</v>
      </c>
      <c r="T12">
        <f>C11*EXP(RATES!O13)*(DATA!$B$6-DATA!$B$12)</f>
        <v>167.1617995478633</v>
      </c>
      <c r="U12">
        <f>B11*EXP(RATES!O13)*(DATA!$B$6-DATA!$B$12)</f>
        <v>668.64719819145319</v>
      </c>
      <c r="V12">
        <f t="shared" si="7"/>
        <v>835.80899773931651</v>
      </c>
      <c r="W12">
        <f t="shared" si="8"/>
        <v>148.11051793223896</v>
      </c>
      <c r="X12">
        <f>W12*BASE!Q12</f>
        <v>116.04289063734429</v>
      </c>
    </row>
    <row r="13" spans="1:24" x14ac:dyDescent="0.3">
      <c r="A13" s="5">
        <v>11</v>
      </c>
      <c r="B13">
        <f>B12*EXP(RATES!O14)*(1-DATA!$B$6)</f>
        <v>82068.023997806304</v>
      </c>
      <c r="C13">
        <f>C12*EXP(RATES!O14)*(1-DATA!$B$6)</f>
        <v>20517.005999451576</v>
      </c>
      <c r="D13">
        <f t="shared" si="1"/>
        <v>102585.02999725788</v>
      </c>
      <c r="E13">
        <f>E12*(1-'LIFE TABLE MALE'!D73/1000)</f>
        <v>0.88436966777579928</v>
      </c>
      <c r="F13">
        <f t="shared" si="2"/>
        <v>0.16734324368961417</v>
      </c>
      <c r="G13">
        <f t="shared" si="0"/>
        <v>102565.02999725788</v>
      </c>
      <c r="H13">
        <f>MAX(D13,DATA!$B$3)</f>
        <v>102585.02999725788</v>
      </c>
      <c r="I13">
        <f>G13*DATA!$B$7*F12*E13</f>
        <v>2678.6357837405649</v>
      </c>
      <c r="J13">
        <f>H13*'LIFE TABLE MALE'!D73/1000*F12*E12</f>
        <v>317.64698751524986</v>
      </c>
      <c r="K13">
        <f>0</f>
        <v>0</v>
      </c>
      <c r="L13" s="43">
        <f>DATA!$B$8*1.1*((1+DATA!$B$9+0.01)^A12)*F13*E13</f>
        <v>10.938983268767492</v>
      </c>
      <c r="M13">
        <f>B12*EXP(RATES!O14)*(DATA!$B$12)</f>
        <v>1174.7978895391495</v>
      </c>
      <c r="N13">
        <f>C12*EXP(RATES!O14)*(DATA!$B$12)</f>
        <v>293.69947238478738</v>
      </c>
      <c r="O13">
        <f t="shared" si="3"/>
        <v>1468.497361923937</v>
      </c>
      <c r="P13">
        <f t="shared" si="4"/>
        <v>217.32775422388158</v>
      </c>
      <c r="Q13">
        <f>RATES!G14</f>
        <v>0.76320887666583526</v>
      </c>
      <c r="R13" s="43">
        <f t="shared" si="5"/>
        <v>3224.5495087484637</v>
      </c>
      <c r="S13">
        <f t="shared" si="6"/>
        <v>2461.0048083252859</v>
      </c>
      <c r="T13">
        <f>C12*EXP(RATES!O14)*(DATA!$B$6-DATA!$B$12)</f>
        <v>167.82826993416418</v>
      </c>
      <c r="U13">
        <f>B12*EXP(RATES!O14)*(DATA!$B$6-DATA!$B$12)</f>
        <v>671.31307973665673</v>
      </c>
      <c r="V13">
        <f t="shared" si="7"/>
        <v>839.14134967082089</v>
      </c>
      <c r="W13">
        <f t="shared" si="8"/>
        <v>124.18728812793231</v>
      </c>
      <c r="X13">
        <f>W13*BASE!Q13</f>
        <v>94.780840668295639</v>
      </c>
    </row>
    <row r="14" spans="1:24" x14ac:dyDescent="0.3">
      <c r="A14" s="5">
        <v>12</v>
      </c>
      <c r="B14">
        <f>B13*EXP(RATES!O15)*(1-DATA!$B$6)</f>
        <v>82258.656528029838</v>
      </c>
      <c r="C14">
        <f>C13*EXP(RATES!O15)*(1-DATA!$B$6)</f>
        <v>20564.66413200746</v>
      </c>
      <c r="D14">
        <f t="shared" si="1"/>
        <v>102823.32066003729</v>
      </c>
      <c r="E14">
        <f>E13*(1-'LIFE TABLE MALE'!D74/1000)</f>
        <v>0.86691443914546784</v>
      </c>
      <c r="F14">
        <f t="shared" si="2"/>
        <v>0.14224175713617204</v>
      </c>
      <c r="G14">
        <f t="shared" si="0"/>
        <v>102803.32066003729</v>
      </c>
      <c r="H14">
        <f>MAX(D14,DATA!$B$3)</f>
        <v>102823.32066003729</v>
      </c>
      <c r="I14">
        <f>G14*DATA!$B$7*F13*E14</f>
        <v>2237.0867292591656</v>
      </c>
      <c r="J14">
        <f>H14*'LIFE TABLE MALE'!D74/1000*F13*E13</f>
        <v>300.34841864165645</v>
      </c>
      <c r="K14">
        <f>0</f>
        <v>0</v>
      </c>
      <c r="L14" s="43">
        <f>DATA!$B$8*1.1*((1+DATA!$B$9+0.01)^A13)*F14*E14</f>
        <v>9.3880524297725181</v>
      </c>
      <c r="M14">
        <f>B13*EXP(RATES!O15)*(DATA!$B$12)</f>
        <v>1177.5267805648443</v>
      </c>
      <c r="N14">
        <f>C13*EXP(RATES!O15)*(DATA!$B$12)</f>
        <v>294.38169514121108</v>
      </c>
      <c r="O14">
        <f t="shared" si="3"/>
        <v>1471.9084757060555</v>
      </c>
      <c r="P14">
        <f t="shared" si="4"/>
        <v>181.50314354720334</v>
      </c>
      <c r="Q14">
        <f>RATES!G15</f>
        <v>0.74468847430975171</v>
      </c>
      <c r="R14" s="44">
        <f t="shared" si="5"/>
        <v>2728.3263438777981</v>
      </c>
      <c r="S14">
        <f t="shared" si="6"/>
        <v>2031.7531824414605</v>
      </c>
      <c r="T14">
        <f>C13*EXP(RATES!O15)*(DATA!$B$6-DATA!$B$12)</f>
        <v>168.21811150926345</v>
      </c>
      <c r="U14">
        <f>B13*EXP(RATES!O15)*(DATA!$B$6-DATA!$B$12)</f>
        <v>672.87244603705381</v>
      </c>
      <c r="V14">
        <f t="shared" si="7"/>
        <v>841.09055754631731</v>
      </c>
      <c r="W14">
        <f t="shared" si="8"/>
        <v>103.71608202697331</v>
      </c>
      <c r="X14">
        <f>W14*BASE!Q14</f>
        <v>77.236170886051809</v>
      </c>
    </row>
    <row r="15" spans="1:24" x14ac:dyDescent="0.3">
      <c r="A15" s="5">
        <v>13</v>
      </c>
      <c r="B15">
        <f>B14*EXP(RATES!O16)*(1-DATA!$B$6)</f>
        <v>82502.039008492662</v>
      </c>
      <c r="C15">
        <f>C14*EXP(RATES!O16)*(1-DATA!$B$6)</f>
        <v>20625.509752123166</v>
      </c>
      <c r="D15">
        <f t="shared" si="1"/>
        <v>103127.54876061583</v>
      </c>
      <c r="E15">
        <f>E14*(1-'LIFE TABLE MALE'!D75/1000)</f>
        <v>0.84808352308867097</v>
      </c>
      <c r="F15">
        <f t="shared" si="2"/>
        <v>0.12090549356574623</v>
      </c>
      <c r="G15">
        <f t="shared" si="0"/>
        <v>103107.54876061583</v>
      </c>
      <c r="H15">
        <f>MAX(D15,DATA!$B$3)</f>
        <v>103127.54876061583</v>
      </c>
      <c r="I15">
        <f>G15*DATA!$B$7*F14*E15</f>
        <v>1865.7242462503618</v>
      </c>
      <c r="J15">
        <f>H15*'LIFE TABLE MALE'!D75/1000*F14*E14</f>
        <v>276.23153139286904</v>
      </c>
      <c r="K15">
        <f>0</f>
        <v>0</v>
      </c>
      <c r="L15" s="43">
        <f>DATA!$B$8*1.1*((1+DATA!$B$9+0.01)^A14)*F15*E15</f>
        <v>8.0407034635339958</v>
      </c>
      <c r="M15">
        <f>B14*EXP(RATES!O16)*(DATA!$B$12)</f>
        <v>1181.0107833526558</v>
      </c>
      <c r="N15">
        <f>C14*EXP(RATES!O16)*(DATA!$B$12)</f>
        <v>295.25269583816396</v>
      </c>
      <c r="O15">
        <f t="shared" si="3"/>
        <v>1476.2634791908199</v>
      </c>
      <c r="P15">
        <f t="shared" si="4"/>
        <v>151.37304106728669</v>
      </c>
      <c r="Q15">
        <f>RATES!G16</f>
        <v>0.72615681422166556</v>
      </c>
      <c r="R15" s="44">
        <f t="shared" si="5"/>
        <v>2301.3695221740518</v>
      </c>
      <c r="S15">
        <f t="shared" si="6"/>
        <v>1671.1551605687462</v>
      </c>
      <c r="T15">
        <f>C14*EXP(RATES!O16)*(DATA!$B$6-DATA!$B$12)</f>
        <v>168.7158261932365</v>
      </c>
      <c r="U15">
        <f>B14*EXP(RATES!O16)*(DATA!$B$6-DATA!$B$12)</f>
        <v>674.86330477294598</v>
      </c>
      <c r="V15">
        <f t="shared" si="7"/>
        <v>843.57913096618245</v>
      </c>
      <c r="W15">
        <f t="shared" si="8"/>
        <v>86.498880609878071</v>
      </c>
      <c r="X15">
        <f>W15*BASE!Q15</f>
        <v>62.811751577409261</v>
      </c>
    </row>
    <row r="16" spans="1:24" x14ac:dyDescent="0.3">
      <c r="A16" s="5">
        <v>14</v>
      </c>
      <c r="B16">
        <f>B15*EXP(RATES!O17)*(1-DATA!$B$6)</f>
        <v>82776.822411940768</v>
      </c>
      <c r="C16">
        <f>C15*EXP(RATES!O17)*(1-DATA!$B$6)</f>
        <v>20694.205602985192</v>
      </c>
      <c r="D16">
        <f t="shared" si="1"/>
        <v>103471.02801492596</v>
      </c>
      <c r="E16">
        <f>E15*(1-'LIFE TABLE MALE'!D76/1000)</f>
        <v>0.82779649169036118</v>
      </c>
      <c r="F16">
        <f t="shared" si="2"/>
        <v>0.10276966953088429</v>
      </c>
      <c r="G16">
        <f t="shared" si="0"/>
        <v>103451.02801492596</v>
      </c>
      <c r="H16">
        <f>MAX(D16,DATA!$B$3)</f>
        <v>103471.02801492596</v>
      </c>
      <c r="I16">
        <f>G16*DATA!$B$7*F15*E16</f>
        <v>1553.0866460598411</v>
      </c>
      <c r="J16">
        <f>H16*'LIFE TABLE MALE'!D76/1000*F15*E15</f>
        <v>253.79513894693926</v>
      </c>
      <c r="K16">
        <f>0</f>
        <v>0</v>
      </c>
      <c r="L16" s="43">
        <f>DATA!$B$8*1.1*((1+DATA!$B$9+0.01)^A15)*F16*E16</f>
        <v>6.8712405411938642</v>
      </c>
      <c r="M16">
        <f>B15*EXP(RATES!O17)*(DATA!$B$12)</f>
        <v>1184.9442881054915</v>
      </c>
      <c r="N16">
        <f>C15*EXP(RATES!O17)*(DATA!$B$12)</f>
        <v>296.23607202637288</v>
      </c>
      <c r="O16">
        <f t="shared" si="3"/>
        <v>1481.1803601318643</v>
      </c>
      <c r="P16">
        <f t="shared" si="4"/>
        <v>126.00752643307075</v>
      </c>
      <c r="Q16">
        <f>RATES!G17</f>
        <v>0.70782386801134656</v>
      </c>
      <c r="R16" s="44">
        <f t="shared" si="5"/>
        <v>1939.760551981045</v>
      </c>
      <c r="S16">
        <f t="shared" si="6"/>
        <v>1373.0088169190478</v>
      </c>
      <c r="T16">
        <f>C15*EXP(RATES!O17)*(DATA!$B$6-DATA!$B$12)</f>
        <v>169.27775544364161</v>
      </c>
      <c r="U16">
        <f>B15*EXP(RATES!O17)*(DATA!$B$6-DATA!$B$12)</f>
        <v>677.11102177456644</v>
      </c>
      <c r="V16">
        <f t="shared" si="7"/>
        <v>846.38877721820802</v>
      </c>
      <c r="W16">
        <f t="shared" si="8"/>
        <v>72.004300818897562</v>
      </c>
      <c r="X16">
        <f>W16*BASE!Q16</f>
        <v>50.966362719084643</v>
      </c>
    </row>
    <row r="17" spans="1:24" x14ac:dyDescent="0.3">
      <c r="A17" s="6">
        <v>15</v>
      </c>
      <c r="B17">
        <f>B16*EXP(RATES!O18)*(1-DATA!$B$6)</f>
        <v>82966.673538954565</v>
      </c>
      <c r="C17">
        <f>C16*EXP(RATES!O18)*(1-DATA!$B$6)</f>
        <v>20741.668384738641</v>
      </c>
      <c r="D17">
        <f t="shared" si="1"/>
        <v>103708.34192369321</v>
      </c>
      <c r="E17">
        <f>E16*(1-'LIFE TABLE MALE'!D77/1000)</f>
        <v>0.80629125769035137</v>
      </c>
      <c r="F17">
        <f t="shared" si="2"/>
        <v>8.7354219101251643E-2</v>
      </c>
      <c r="G17">
        <f t="shared" si="0"/>
        <v>103688.34192369321</v>
      </c>
      <c r="H17">
        <f>MAX(D17,DATA!$B$3)</f>
        <v>103708.34192369321</v>
      </c>
      <c r="I17">
        <f>G17*DATA!$B$7*F16*E17</f>
        <v>1288.7779580336889</v>
      </c>
      <c r="J17">
        <f>H17*'LIFE TABLE MALE'!D77/1000*F16*E16</f>
        <v>229.20433293161327</v>
      </c>
      <c r="K17">
        <f>0</f>
        <v>0</v>
      </c>
      <c r="L17" s="43">
        <f>DATA!$B$8*1.1*((1+DATA!$B$9+0.01)^A16)*F17*E17</f>
        <v>5.8594880383038221</v>
      </c>
      <c r="M17">
        <f>B16*EXP(RATES!O18)*(DATA!$B$12)</f>
        <v>1187.6619934001676</v>
      </c>
      <c r="N17">
        <f>C16*EXP(RATES!O18)*(DATA!$B$12)</f>
        <v>296.9154983500419</v>
      </c>
      <c r="O17">
        <f t="shared" si="3"/>
        <v>1484.5774917502094</v>
      </c>
      <c r="P17">
        <f t="shared" si="4"/>
        <v>104.5631621282523</v>
      </c>
      <c r="Q17">
        <f>RATES!G18</f>
        <v>0.6906676758678868</v>
      </c>
      <c r="R17" s="44">
        <f t="shared" si="5"/>
        <v>1628.4049411318583</v>
      </c>
      <c r="S17">
        <f t="shared" si="6"/>
        <v>1124.6866560633237</v>
      </c>
      <c r="T17">
        <f>C16*EXP(RATES!O18)*(DATA!$B$6-DATA!$B$12)</f>
        <v>169.66599905716677</v>
      </c>
      <c r="U17">
        <f>B16*EXP(RATES!O18)*(DATA!$B$6-DATA!$B$12)</f>
        <v>678.66399622866709</v>
      </c>
      <c r="V17">
        <f t="shared" si="7"/>
        <v>848.32999528583389</v>
      </c>
      <c r="W17">
        <f t="shared" si="8"/>
        <v>59.75037835900131</v>
      </c>
      <c r="X17">
        <f>W17*BASE!Q17</f>
        <v>41.267654953438317</v>
      </c>
    </row>
    <row r="18" spans="1:24" x14ac:dyDescent="0.3">
      <c r="A18" s="5">
        <v>16</v>
      </c>
      <c r="B18">
        <f>B17*EXP(RATES!O19)*(1-DATA!$B$6)</f>
        <v>83012.664280582845</v>
      </c>
      <c r="C18">
        <f>C17*EXP(RATES!O19)*(1-DATA!$B$6)</f>
        <v>20753.166070145711</v>
      </c>
      <c r="D18">
        <f t="shared" si="1"/>
        <v>103765.83035072856</v>
      </c>
      <c r="E18">
        <f>E17*(1-'LIFE TABLE MALE'!D78/1000)</f>
        <v>0.78272955654492149</v>
      </c>
      <c r="F18">
        <f t="shared" si="2"/>
        <v>7.4251086236063898E-2</v>
      </c>
      <c r="G18">
        <f t="shared" si="0"/>
        <v>103745.83035072856</v>
      </c>
      <c r="H18">
        <f>MAX(D18,DATA!$B$3)</f>
        <v>103765.83035072856</v>
      </c>
      <c r="I18">
        <f>G18*DATA!$B$7*F17*E18</f>
        <v>1064.0389580592437</v>
      </c>
      <c r="J18">
        <f>H18*'LIFE TABLE MALE'!D78/1000*F17*E17</f>
        <v>213.57228519113178</v>
      </c>
      <c r="K18">
        <f>0</f>
        <v>0</v>
      </c>
      <c r="L18" s="43">
        <f>DATA!$B$8*1.1*((1+DATA!$B$9+0.01)^A17)*F18*E18</f>
        <v>4.9800718084377005</v>
      </c>
      <c r="M18">
        <f>B17*EXP(RATES!O19)*(DATA!$B$12)</f>
        <v>1188.3203475748055</v>
      </c>
      <c r="N18">
        <f>C17*EXP(RATES!O19)*(DATA!$B$12)</f>
        <v>297.08008689370138</v>
      </c>
      <c r="O18">
        <f t="shared" si="3"/>
        <v>1485.4004344685068</v>
      </c>
      <c r="P18">
        <f t="shared" si="4"/>
        <v>86.329274565349067</v>
      </c>
      <c r="Q18">
        <f>RATES!G19</f>
        <v>0.67509876092267374</v>
      </c>
      <c r="R18" s="44">
        <f t="shared" si="5"/>
        <v>1368.9205896241622</v>
      </c>
      <c r="S18">
        <f t="shared" si="6"/>
        <v>924.15659385680783</v>
      </c>
      <c r="T18">
        <f>C17*EXP(RATES!O19)*(DATA!$B$6-DATA!$B$12)</f>
        <v>169.76004965354363</v>
      </c>
      <c r="U18">
        <f>B17*EXP(RATES!O19)*(DATA!$B$6-DATA!$B$12)</f>
        <v>679.04019861417453</v>
      </c>
      <c r="V18">
        <f t="shared" si="7"/>
        <v>848.80024826771819</v>
      </c>
      <c r="W18">
        <f t="shared" si="8"/>
        <v>49.331014037342328</v>
      </c>
      <c r="X18">
        <f>W18*BASE!Q18</f>
        <v>33.303306451668831</v>
      </c>
    </row>
    <row r="19" spans="1:24" x14ac:dyDescent="0.3">
      <c r="A19" s="5">
        <v>17</v>
      </c>
      <c r="B19">
        <f>B18*EXP(RATES!O20)*(1-DATA!$B$6)</f>
        <v>82929.076023361471</v>
      </c>
      <c r="C19">
        <f>C18*EXP(RATES!O20)*(1-DATA!$B$6)</f>
        <v>20732.269005840368</v>
      </c>
      <c r="D19">
        <f t="shared" si="1"/>
        <v>103661.34502920184</v>
      </c>
      <c r="E19">
        <f>E18*(1-'LIFE TABLE MALE'!D79/1000)</f>
        <v>0.75700168217713715</v>
      </c>
      <c r="F19">
        <f t="shared" si="2"/>
        <v>6.3113423300654309E-2</v>
      </c>
      <c r="G19">
        <f t="shared" si="0"/>
        <v>103641.34502920184</v>
      </c>
      <c r="H19">
        <f>MAX(D19,DATA!$B$3)</f>
        <v>103661.34502920184</v>
      </c>
      <c r="I19">
        <f>G19*DATA!$B$7*F18*E19</f>
        <v>873.82397367525232</v>
      </c>
      <c r="J19">
        <f>H19*'LIFE TABLE MALE'!D79/1000*F18*E18</f>
        <v>198.0266120581758</v>
      </c>
      <c r="K19">
        <f>0</f>
        <v>0</v>
      </c>
      <c r="L19" s="43">
        <f>DATA!$B$8*1.1*((1+DATA!$B$9+0.01)^A18)*F19*E19</f>
        <v>4.2167404157367399</v>
      </c>
      <c r="M19">
        <f>B18*EXP(RATES!O20)*(DATA!$B$12)</f>
        <v>1187.1237876554812</v>
      </c>
      <c r="N19">
        <f>C18*EXP(RATES!O20)*(DATA!$B$12)</f>
        <v>296.78094691387031</v>
      </c>
      <c r="O19">
        <f t="shared" si="3"/>
        <v>1483.9047345693516</v>
      </c>
      <c r="P19">
        <f t="shared" si="4"/>
        <v>70.896468434730593</v>
      </c>
      <c r="Q19">
        <f>RATES!G20</f>
        <v>0.66091208289531467</v>
      </c>
      <c r="R19" s="44">
        <f t="shared" si="5"/>
        <v>1146.9637945838954</v>
      </c>
      <c r="S19">
        <f t="shared" si="6"/>
        <v>758.04223048395613</v>
      </c>
      <c r="T19">
        <f>C18*EXP(RATES!O20)*(DATA!$B$6-DATA!$B$12)</f>
        <v>169.58911252221156</v>
      </c>
      <c r="U19">
        <f>B18*EXP(RATES!O20)*(DATA!$B$6-DATA!$B$12)</f>
        <v>678.35645008884626</v>
      </c>
      <c r="V19">
        <f t="shared" si="7"/>
        <v>847.94556261105777</v>
      </c>
      <c r="W19">
        <f t="shared" si="8"/>
        <v>40.512267676988898</v>
      </c>
      <c r="X19">
        <f>W19*BASE!Q19</f>
        <v>26.775047213211263</v>
      </c>
    </row>
    <row r="20" spans="1:24" x14ac:dyDescent="0.3">
      <c r="A20" s="5">
        <v>18</v>
      </c>
      <c r="B20">
        <f>B19*EXP(RATES!O21)*(1-DATA!$B$6)</f>
        <v>82813.18390319946</v>
      </c>
      <c r="C20">
        <f>C19*EXP(RATES!O21)*(1-DATA!$B$6)</f>
        <v>20703.295975799865</v>
      </c>
      <c r="D20">
        <f t="shared" si="1"/>
        <v>103516.47987899932</v>
      </c>
      <c r="E20">
        <f>E19*(1-'LIFE TABLE MALE'!D80/1000)</f>
        <v>0.72857800254523786</v>
      </c>
      <c r="F20">
        <f t="shared" si="2"/>
        <v>5.3646409805556163E-2</v>
      </c>
      <c r="G20">
        <f t="shared" si="0"/>
        <v>103496.47987899932</v>
      </c>
      <c r="H20">
        <f>MAX(D20,DATA!$B$3)</f>
        <v>103516.47987899932</v>
      </c>
      <c r="I20">
        <f>G20*DATA!$B$7*F19*E20</f>
        <v>713.862600584897</v>
      </c>
      <c r="J20">
        <f>H20*'LIFE TABLE MALE'!D80/1000*F19*E19</f>
        <v>185.69984098639321</v>
      </c>
      <c r="K20">
        <f>0</f>
        <v>0</v>
      </c>
      <c r="L20" s="43">
        <f>DATA!$B$8*1.1*((1+DATA!$B$9+0.01)^A19)*F20*E20</f>
        <v>3.5531392415134362</v>
      </c>
      <c r="M20">
        <f>B19*EXP(RATES!O21)*(DATA!$B$12)</f>
        <v>1185.464800250299</v>
      </c>
      <c r="N20">
        <f>C19*EXP(RATES!O21)*(DATA!$B$12)</f>
        <v>296.36620006257476</v>
      </c>
      <c r="O20">
        <f t="shared" si="3"/>
        <v>1481.8310003128738</v>
      </c>
      <c r="P20">
        <f t="shared" si="4"/>
        <v>57.918245002811645</v>
      </c>
      <c r="Q20">
        <f>RATES!G21</f>
        <v>0.64727657622441381</v>
      </c>
      <c r="R20" s="44">
        <f t="shared" si="5"/>
        <v>961.03382581561527</v>
      </c>
      <c r="S20">
        <f t="shared" si="6"/>
        <v>622.05468440978109</v>
      </c>
      <c r="T20">
        <f>C19*EXP(RATES!O21)*(DATA!$B$6-DATA!$B$12)</f>
        <v>169.35211432147125</v>
      </c>
      <c r="U20">
        <f>B19*EXP(RATES!O21)*(DATA!$B$6-DATA!$B$12)</f>
        <v>677.40845728588499</v>
      </c>
      <c r="V20">
        <f t="shared" si="7"/>
        <v>846.76057160735627</v>
      </c>
      <c r="W20">
        <f t="shared" si="8"/>
        <v>33.096140001606649</v>
      </c>
      <c r="X20">
        <f>W20*BASE!Q20</f>
        <v>21.422356186483817</v>
      </c>
    </row>
    <row r="21" spans="1:24" x14ac:dyDescent="0.3">
      <c r="A21" s="5">
        <v>19</v>
      </c>
      <c r="B21">
        <f>B20*EXP(RATES!O22)*(1-DATA!$B$6)</f>
        <v>82680.449851873433</v>
      </c>
      <c r="C21">
        <f>C20*EXP(RATES!O22)*(1-DATA!$B$6)</f>
        <v>20670.112462968358</v>
      </c>
      <c r="D21">
        <f t="shared" si="1"/>
        <v>103350.56231484179</v>
      </c>
      <c r="E21">
        <f>E20*(1-'LIFE TABLE MALE'!D81/1000)</f>
        <v>0.69834190615291014</v>
      </c>
      <c r="F21">
        <f t="shared" si="2"/>
        <v>4.5599448334722736E-2</v>
      </c>
      <c r="G21">
        <f t="shared" si="0"/>
        <v>103330.56231484179</v>
      </c>
      <c r="H21">
        <f>MAX(D21,DATA!$B$3)</f>
        <v>103350.56231484179</v>
      </c>
      <c r="I21">
        <f>G21*DATA!$B$7*F20*E21</f>
        <v>580.6692374463338</v>
      </c>
      <c r="J21">
        <f>H21*'LIFE TABLE MALE'!D81/1000*F20*E20</f>
        <v>167.64060826585248</v>
      </c>
      <c r="K21">
        <f>0</f>
        <v>0</v>
      </c>
      <c r="L21" s="43">
        <f>DATA!$B$8*1.1*((1+DATA!$B$9+0.01)^A20)*F21*E21</f>
        <v>2.9816758429822854</v>
      </c>
      <c r="M21">
        <f>B20*EXP(RATES!O22)*(DATA!$B$12)</f>
        <v>1183.5647218059592</v>
      </c>
      <c r="N21">
        <f>C20*EXP(RATES!O22)*(DATA!$B$12)</f>
        <v>295.89118045148979</v>
      </c>
      <c r="O21">
        <f t="shared" si="3"/>
        <v>1479.455902257449</v>
      </c>
      <c r="P21">
        <f t="shared" si="4"/>
        <v>47.111802139396694</v>
      </c>
      <c r="Q21">
        <f>RATES!G22</f>
        <v>0.63405275958074025</v>
      </c>
      <c r="R21" s="44">
        <f t="shared" si="5"/>
        <v>798.40332369456519</v>
      </c>
      <c r="S21">
        <f t="shared" si="6"/>
        <v>506.22983064697411</v>
      </c>
      <c r="T21">
        <f>C20*EXP(RATES!O22)*(DATA!$B$6-DATA!$B$12)</f>
        <v>169.08067454370843</v>
      </c>
      <c r="U21">
        <f>B20*EXP(RATES!O22)*(DATA!$B$6-DATA!$B$12)</f>
        <v>676.3226981748337</v>
      </c>
      <c r="V21">
        <f t="shared" si="7"/>
        <v>845.40337271854219</v>
      </c>
      <c r="W21">
        <f t="shared" si="8"/>
        <v>26.921029793940967</v>
      </c>
      <c r="X21">
        <f>W21*BASE!Q21</f>
        <v>17.069353231603596</v>
      </c>
    </row>
    <row r="22" spans="1:24" x14ac:dyDescent="0.3">
      <c r="A22" s="6">
        <v>20</v>
      </c>
      <c r="B22">
        <f>B21*EXP(RATES!O23)*(1-DATA!$B$6)</f>
        <v>82630.136364810009</v>
      </c>
      <c r="C22">
        <f>C21*EXP(RATES!O23)*(1-DATA!$B$6)</f>
        <v>20657.534091202502</v>
      </c>
      <c r="D22">
        <f t="shared" si="1"/>
        <v>103287.67045601251</v>
      </c>
      <c r="E22">
        <f>E21*(1-'LIFE TABLE MALE'!D82/1000)</f>
        <v>0.66548978691150162</v>
      </c>
      <c r="F22">
        <f t="shared" si="2"/>
        <v>3.8759531084514326E-2</v>
      </c>
      <c r="G22">
        <f t="shared" si="0"/>
        <v>103267.67045601251</v>
      </c>
      <c r="H22">
        <f>MAX(D22,DATA!$B$3)</f>
        <v>103287.67045601251</v>
      </c>
      <c r="I22">
        <f>G22*DATA!$B$7*F21*E22</f>
        <v>470.06360038335072</v>
      </c>
      <c r="J22">
        <f>H22*'LIFE TABLE MALE'!D82/1000*F21*E21</f>
        <v>154.72890836803691</v>
      </c>
      <c r="K22">
        <f>0</f>
        <v>0</v>
      </c>
      <c r="L22" s="43">
        <f>DATA!$B$8*1.1*((1+DATA!$B$9+0.01)^A21)*F22*E22</f>
        <v>2.4876533841326949</v>
      </c>
      <c r="M22">
        <f>B21*EXP(RATES!O23)*(DATA!$B$12)</f>
        <v>1182.8444878398161</v>
      </c>
      <c r="N22">
        <f>C21*EXP(RATES!O23)*(DATA!$B$12)</f>
        <v>295.71112195995403</v>
      </c>
      <c r="O22">
        <f t="shared" si="3"/>
        <v>1478.5556097997701</v>
      </c>
      <c r="P22">
        <f t="shared" si="4"/>
        <v>38.137969976750696</v>
      </c>
      <c r="Q22">
        <f>RATES!G23</f>
        <v>0.62048117992903407</v>
      </c>
      <c r="R22" s="44">
        <f t="shared" si="5"/>
        <v>665.418132112271</v>
      </c>
      <c r="S22">
        <f t="shared" si="6"/>
        <v>412.87942775919578</v>
      </c>
      <c r="T22">
        <f>C21*EXP(RATES!O23)*(DATA!$B$6-DATA!$B$12)</f>
        <v>168.97778397711653</v>
      </c>
      <c r="U22">
        <f>B21*EXP(RATES!O23)*(DATA!$B$6-DATA!$B$12)</f>
        <v>675.91113590846612</v>
      </c>
      <c r="V22">
        <f t="shared" si="7"/>
        <v>844.88891988558271</v>
      </c>
      <c r="W22">
        <f t="shared" si="8"/>
        <v>21.793125701000392</v>
      </c>
      <c r="X22">
        <f>W22*BASE!Q22</f>
        <v>13.522224349298481</v>
      </c>
    </row>
    <row r="23" spans="1:24" x14ac:dyDescent="0.3">
      <c r="A23" s="5">
        <v>21</v>
      </c>
      <c r="B23">
        <f>B22*EXP(RATES!O24)*(1-DATA!$B$6)</f>
        <v>82662.12593342422</v>
      </c>
      <c r="C23">
        <f>C22*EXP(RATES!O24)*(1-DATA!$B$6)</f>
        <v>20665.531483356055</v>
      </c>
      <c r="D23">
        <f t="shared" si="1"/>
        <v>103327.65741678028</v>
      </c>
      <c r="E23">
        <f>E22*(1-'LIFE TABLE MALE'!D83/1000)</f>
        <v>0.63037147159761586</v>
      </c>
      <c r="F23">
        <f t="shared" si="2"/>
        <v>3.2945601421837174E-2</v>
      </c>
      <c r="G23">
        <f t="shared" si="0"/>
        <v>103307.65741678028</v>
      </c>
      <c r="H23">
        <f>MAX(D23,DATA!$B$3)</f>
        <v>103327.65741678028</v>
      </c>
      <c r="I23">
        <f>G23*DATA!$B$7*F22*E23</f>
        <v>378.61589047134038</v>
      </c>
      <c r="J23">
        <f>H23*'LIFE TABLE MALE'!D83/1000*F22*E22</f>
        <v>140.64644896712502</v>
      </c>
      <c r="K23">
        <f>0</f>
        <v>0</v>
      </c>
      <c r="L23" s="43">
        <f>DATA!$B$8*1.1*((1+DATA!$B$9+0.01)^A22)*F23*E23</f>
        <v>2.0630092435254981</v>
      </c>
      <c r="M23">
        <f>B22*EXP(RATES!O24)*(DATA!$B$12)</f>
        <v>1183.3024162248867</v>
      </c>
      <c r="N23">
        <f>C22*EXP(RATES!O24)*(DATA!$B$12)</f>
        <v>295.82560405622166</v>
      </c>
      <c r="O23">
        <f t="shared" si="3"/>
        <v>1479.1280202811083</v>
      </c>
      <c r="P23">
        <f t="shared" si="4"/>
        <v>30.718482285163532</v>
      </c>
      <c r="Q23">
        <f>RATES!G24</f>
        <v>0.60659575547952316</v>
      </c>
      <c r="R23" s="44">
        <f t="shared" si="5"/>
        <v>552.04383096715446</v>
      </c>
      <c r="S23">
        <f t="shared" si="6"/>
        <v>334.86744470333122</v>
      </c>
      <c r="T23">
        <f>C22*EXP(RATES!O24)*(DATA!$B$6-DATA!$B$12)</f>
        <v>169.04320231784092</v>
      </c>
      <c r="U23">
        <f>B22*EXP(RATES!O24)*(DATA!$B$6-DATA!$B$12)</f>
        <v>676.17280927136369</v>
      </c>
      <c r="V23">
        <f t="shared" si="7"/>
        <v>845.21601158920464</v>
      </c>
      <c r="W23">
        <f t="shared" si="8"/>
        <v>17.553418448664875</v>
      </c>
      <c r="X23">
        <f>W23*BASE!Q23</f>
        <v>10.647829125116068</v>
      </c>
    </row>
    <row r="24" spans="1:24" x14ac:dyDescent="0.3">
      <c r="A24" s="5">
        <v>22</v>
      </c>
      <c r="B24">
        <f>B23*EXP(RATES!O25)*(1-DATA!$B$6)</f>
        <v>82791.080503122896</v>
      </c>
      <c r="C24">
        <f>C23*EXP(RATES!O25)*(1-DATA!$B$6)</f>
        <v>20697.770125780724</v>
      </c>
      <c r="D24">
        <f t="shared" si="1"/>
        <v>103488.85062890362</v>
      </c>
      <c r="E24">
        <f>E23*(1-'LIFE TABLE MALE'!D84/1000)</f>
        <v>0.59321032950859998</v>
      </c>
      <c r="F24">
        <f t="shared" si="2"/>
        <v>2.8003761208561597E-2</v>
      </c>
      <c r="G24">
        <f t="shared" si="0"/>
        <v>103468.85062890362</v>
      </c>
      <c r="H24">
        <f>MAX(D24,DATA!$B$3)</f>
        <v>103488.85062890362</v>
      </c>
      <c r="I24">
        <f>G24*DATA!$B$7*F23*E24</f>
        <v>303.32417748470505</v>
      </c>
      <c r="J24">
        <f>H24*'LIFE TABLE MALE'!D84/1000*F23*E23</f>
        <v>126.70100404686094</v>
      </c>
      <c r="K24">
        <f>0</f>
        <v>0</v>
      </c>
      <c r="L24" s="43">
        <f>DATA!$B$8*1.1*((1+DATA!$B$9+0.01)^A23)*F24*E24</f>
        <v>1.6996890586923012</v>
      </c>
      <c r="M24">
        <f>B23*EXP(RATES!O25)*(DATA!$B$12)</f>
        <v>1185.148391660246</v>
      </c>
      <c r="N24">
        <f>C23*EXP(RATES!O25)*(DATA!$B$12)</f>
        <v>296.28709791506151</v>
      </c>
      <c r="O24">
        <f t="shared" si="3"/>
        <v>1481.4354895753077</v>
      </c>
      <c r="P24">
        <f t="shared" si="4"/>
        <v>24.609784738414312</v>
      </c>
      <c r="Q24">
        <f>RATES!G25</f>
        <v>0.59232660750473398</v>
      </c>
      <c r="R24" s="44">
        <f t="shared" si="5"/>
        <v>456.33465532867262</v>
      </c>
      <c r="S24">
        <f t="shared" si="6"/>
        <v>270.29915827767474</v>
      </c>
      <c r="T24">
        <f>C23*EXP(RATES!O25)*(DATA!$B$6-DATA!$B$12)</f>
        <v>169.30691309432083</v>
      </c>
      <c r="U24">
        <f>B23*EXP(RATES!O25)*(DATA!$B$6-DATA!$B$12)</f>
        <v>677.22765237728333</v>
      </c>
      <c r="V24">
        <f t="shared" si="7"/>
        <v>846.5345654716042</v>
      </c>
      <c r="W24">
        <f t="shared" si="8"/>
        <v>14.062734136236747</v>
      </c>
      <c r="X24">
        <f>W24*BASE!Q24</f>
        <v>8.3297316031581286</v>
      </c>
    </row>
    <row r="25" spans="1:24" x14ac:dyDescent="0.3">
      <c r="A25" s="5">
        <v>23</v>
      </c>
      <c r="B25">
        <f>B24*EXP(RATES!O26)*(1-DATA!$B$6)</f>
        <v>82994.7603613877</v>
      </c>
      <c r="C25">
        <f>C24*EXP(RATES!O26)*(1-DATA!$B$6)</f>
        <v>20748.690090346925</v>
      </c>
      <c r="D25">
        <f t="shared" si="1"/>
        <v>103743.45045173462</v>
      </c>
      <c r="E25">
        <f>E24*(1-'LIFE TABLE MALE'!D85/1000)</f>
        <v>0.55421480613968421</v>
      </c>
      <c r="F25">
        <f t="shared" si="2"/>
        <v>2.3803197027277356E-2</v>
      </c>
      <c r="G25">
        <f t="shared" si="0"/>
        <v>103723.45045173462</v>
      </c>
      <c r="H25">
        <f>MAX(D25,DATA!$B$3)</f>
        <v>103743.45045173462</v>
      </c>
      <c r="I25">
        <f>G25*DATA!$B$7*F24*E25</f>
        <v>241.46973433557508</v>
      </c>
      <c r="J25">
        <f>H25*'LIFE TABLE MALE'!D85/1000*F24*E24</f>
        <v>113.29006018357497</v>
      </c>
      <c r="K25">
        <f>0</f>
        <v>0</v>
      </c>
      <c r="L25" s="43">
        <f>DATA!$B$8*1.1*((1+DATA!$B$9+0.01)^A24)*F25*E25</f>
        <v>1.3902568655455423</v>
      </c>
      <c r="M25">
        <f>B24*EXP(RATES!O26)*(DATA!$B$12)</f>
        <v>1188.0640542529939</v>
      </c>
      <c r="N25">
        <f>C24*EXP(RATES!O26)*(DATA!$B$12)</f>
        <v>297.01601356324846</v>
      </c>
      <c r="O25">
        <f t="shared" si="3"/>
        <v>1485.0800678162423</v>
      </c>
      <c r="P25">
        <f t="shared" si="4"/>
        <v>19.59130133695184</v>
      </c>
      <c r="Q25">
        <f>RATES!G26</f>
        <v>0.57787375637469385</v>
      </c>
      <c r="R25" s="44">
        <f t="shared" si="5"/>
        <v>375.74135272164744</v>
      </c>
      <c r="S25">
        <f t="shared" si="6"/>
        <v>217.13106692256721</v>
      </c>
      <c r="T25">
        <f>C24*EXP(RATES!O26)*(DATA!$B$6-DATA!$B$12)</f>
        <v>169.72343632185621</v>
      </c>
      <c r="U25">
        <f>B24*EXP(RATES!O26)*(DATA!$B$6-DATA!$B$12)</f>
        <v>678.89374528742485</v>
      </c>
      <c r="V25">
        <f t="shared" si="7"/>
        <v>848.61718160928103</v>
      </c>
      <c r="W25">
        <f t="shared" si="8"/>
        <v>11.195029335401049</v>
      </c>
      <c r="X25">
        <f>W25*BASE!Q25</f>
        <v>6.4693136547730967</v>
      </c>
    </row>
    <row r="26" spans="1:24" x14ac:dyDescent="0.3">
      <c r="A26" s="5">
        <v>24</v>
      </c>
      <c r="B26">
        <f>B25*EXP(RATES!O27)*(1-DATA!$B$6)</f>
        <v>83283.464922455751</v>
      </c>
      <c r="C26">
        <f>C25*EXP(RATES!O27)*(1-DATA!$B$6)</f>
        <v>20820.866230613938</v>
      </c>
      <c r="D26">
        <f t="shared" si="1"/>
        <v>104104.33115306968</v>
      </c>
      <c r="E26">
        <f>E25*(1-'LIFE TABLE MALE'!D86/1000)</f>
        <v>0.51420915397167088</v>
      </c>
      <c r="F26">
        <f t="shared" si="2"/>
        <v>2.0232717473185752E-2</v>
      </c>
      <c r="G26">
        <f t="shared" si="0"/>
        <v>104084.33115306968</v>
      </c>
      <c r="H26">
        <f>MAX(D26,DATA!$B$3)</f>
        <v>104104.33115306968</v>
      </c>
      <c r="I26">
        <f>G26*DATA!$B$7*F25*E26</f>
        <v>191.09604990431976</v>
      </c>
      <c r="J26">
        <f>H26*'LIFE TABLE MALE'!D86/1000*F25*E25</f>
        <v>99.134642395417217</v>
      </c>
      <c r="K26">
        <f>0</f>
        <v>0</v>
      </c>
      <c r="L26" s="43">
        <f>DATA!$B$8*1.1*((1+DATA!$B$9+0.01)^A25)*F26*E26</f>
        <v>1.1293092322250524</v>
      </c>
      <c r="M26">
        <f>B25*EXP(RATES!O27)*(DATA!$B$12)</f>
        <v>1192.1968393807574</v>
      </c>
      <c r="N26">
        <f>C25*EXP(RATES!O27)*(DATA!$B$12)</f>
        <v>298.04920984518935</v>
      </c>
      <c r="O26">
        <f t="shared" si="3"/>
        <v>1490.2460492259468</v>
      </c>
      <c r="P26">
        <f t="shared" si="4"/>
        <v>15.50429417518645</v>
      </c>
      <c r="Q26">
        <f>RATES!G27</f>
        <v>0.56320138825489208</v>
      </c>
      <c r="R26" s="44">
        <f t="shared" si="5"/>
        <v>306.86429570714847</v>
      </c>
      <c r="S26">
        <f t="shared" si="6"/>
        <v>172.82639734812574</v>
      </c>
      <c r="T26">
        <f>C25*EXP(RATES!O27)*(DATA!$B$6-DATA!$B$12)</f>
        <v>170.313834197251</v>
      </c>
      <c r="U26">
        <f>B25*EXP(RATES!O27)*(DATA!$B$6-DATA!$B$12)</f>
        <v>681.25533678900399</v>
      </c>
      <c r="V26">
        <f t="shared" si="7"/>
        <v>851.56917098625502</v>
      </c>
      <c r="W26">
        <f t="shared" si="8"/>
        <v>8.8595966715351118</v>
      </c>
      <c r="X26">
        <f>W26*BASE!Q26</f>
        <v>4.9897371447869956</v>
      </c>
    </row>
    <row r="27" spans="1:24" x14ac:dyDescent="0.3">
      <c r="A27" s="6">
        <v>25</v>
      </c>
      <c r="B27">
        <f>B26*EXP(RATES!O28)*(1-DATA!$B$6)</f>
        <v>83627.029768984285</v>
      </c>
      <c r="C27">
        <f>C26*EXP(RATES!O28)*(1-DATA!$B$6)</f>
        <v>20906.757442246071</v>
      </c>
      <c r="D27">
        <f t="shared" si="1"/>
        <v>104533.78721123036</v>
      </c>
      <c r="E27">
        <f>E26*(1-'LIFE TABLE MALE'!D87/1000)</f>
        <v>0.47242590134255708</v>
      </c>
      <c r="F27">
        <f t="shared" si="2"/>
        <v>1.7197809852207889E-2</v>
      </c>
      <c r="G27">
        <f t="shared" si="0"/>
        <v>104513.78721123036</v>
      </c>
      <c r="H27">
        <f>MAX(D27,DATA!$B$3)</f>
        <v>104533.78721123036</v>
      </c>
      <c r="I27">
        <f>G27*DATA!$B$7*F26*E27</f>
        <v>149.84862486630152</v>
      </c>
      <c r="J27">
        <f>H27*'LIFE TABLE MALE'!D87/1000*F26*E26</f>
        <v>88.371687238678589</v>
      </c>
      <c r="K27">
        <f>0</f>
        <v>0</v>
      </c>
      <c r="L27" s="43">
        <f>DATA!$B$8*1.1*((1+DATA!$B$9+0.01)^A26)*F27*E27</f>
        <v>0.9083702989251724</v>
      </c>
      <c r="M27">
        <f>B26*EXP(RATES!O28)*(DATA!$B$12)</f>
        <v>1197.1149455682821</v>
      </c>
      <c r="N27">
        <f>C26*EXP(RATES!O28)*(DATA!$B$12)</f>
        <v>299.27873639207053</v>
      </c>
      <c r="O27">
        <f t="shared" si="3"/>
        <v>1496.3936819603528</v>
      </c>
      <c r="P27">
        <f t="shared" si="4"/>
        <v>12.157736011748135</v>
      </c>
      <c r="Q27">
        <f>RATES!G28</f>
        <v>0.54854806158178537</v>
      </c>
      <c r="R27" s="44">
        <f t="shared" si="5"/>
        <v>251.28641841565343</v>
      </c>
      <c r="S27">
        <f t="shared" si="6"/>
        <v>137.84267772373613</v>
      </c>
      <c r="T27">
        <f>C26*EXP(RATES!O28)*(DATA!$B$6-DATA!$B$12)</f>
        <v>171.01642079546883</v>
      </c>
      <c r="U27">
        <f>B26*EXP(RATES!O28)*(DATA!$B$6-DATA!$B$12)</f>
        <v>684.06568318187533</v>
      </c>
      <c r="V27">
        <f t="shared" si="7"/>
        <v>855.0821039773441</v>
      </c>
      <c r="W27">
        <f t="shared" si="8"/>
        <v>6.9472777209989314</v>
      </c>
      <c r="X27">
        <f>W27*BASE!Q27</f>
        <v>3.8109157271242875</v>
      </c>
    </row>
    <row r="28" spans="1:24" x14ac:dyDescent="0.3">
      <c r="A28" s="5">
        <v>26</v>
      </c>
      <c r="B28">
        <f>B27*EXP(RATES!O29)*(1-DATA!$B$6)</f>
        <v>84031.033003797333</v>
      </c>
      <c r="C28">
        <f>C27*EXP(RATES!O29)*(1-DATA!$B$6)</f>
        <v>21007.758250949333</v>
      </c>
      <c r="D28">
        <f t="shared" si="1"/>
        <v>105038.79125474667</v>
      </c>
      <c r="E28">
        <f>E27*(1-'LIFE TABLE MALE'!D88/1000)</f>
        <v>0.42866056426106119</v>
      </c>
      <c r="F28">
        <f t="shared" si="2"/>
        <v>1.4618138374376706E-2</v>
      </c>
      <c r="G28">
        <f t="shared" si="0"/>
        <v>105018.79125474667</v>
      </c>
      <c r="H28">
        <f>MAX(D28,DATA!$B$3)</f>
        <v>105038.79125474667</v>
      </c>
      <c r="I28">
        <f>G28*DATA!$B$7*F27*E28</f>
        <v>116.13013971998167</v>
      </c>
      <c r="J28">
        <f>H28*'LIFE TABLE MALE'!D88/1000*F27*E27</f>
        <v>79.059331184765412</v>
      </c>
      <c r="K28">
        <f>0</f>
        <v>0</v>
      </c>
      <c r="L28" s="43">
        <f>DATA!$B$8*1.1*((1+DATA!$B$9+0.01)^A27)*F28*E28</f>
        <v>0.72160395858271043</v>
      </c>
      <c r="M28">
        <f>B27*EXP(RATES!O29)*(DATA!$B$12)</f>
        <v>1202.8982229582439</v>
      </c>
      <c r="N28">
        <f>C27*EXP(RATES!O29)*(DATA!$B$12)</f>
        <v>300.72455573956097</v>
      </c>
      <c r="O28">
        <f t="shared" si="3"/>
        <v>1503.6227786978047</v>
      </c>
      <c r="P28">
        <f t="shared" si="4"/>
        <v>9.4220302923274026</v>
      </c>
      <c r="Q28">
        <f>RATES!G29</f>
        <v>0.53390072310461278</v>
      </c>
      <c r="R28" s="44">
        <f t="shared" si="5"/>
        <v>205.33310515565719</v>
      </c>
      <c r="S28">
        <f t="shared" si="6"/>
        <v>109.62749331992087</v>
      </c>
      <c r="T28">
        <f>C27*EXP(RATES!O29)*(DATA!$B$6-DATA!$B$12)</f>
        <v>171.84260327974911</v>
      </c>
      <c r="U28">
        <f>B27*EXP(RATES!O29)*(DATA!$B$6-DATA!$B$12)</f>
        <v>687.37041311899645</v>
      </c>
      <c r="V28">
        <f t="shared" si="7"/>
        <v>859.21301639874559</v>
      </c>
      <c r="W28">
        <f t="shared" si="8"/>
        <v>5.3840173099013731</v>
      </c>
      <c r="X28">
        <f>W28*BASE!Q28</f>
        <v>2.8745307349640954</v>
      </c>
    </row>
    <row r="29" spans="1:24" x14ac:dyDescent="0.3">
      <c r="A29" s="5">
        <v>27</v>
      </c>
      <c r="B29">
        <f>B28*EXP(RATES!O30)*(1-DATA!$B$6)</f>
        <v>84501.26690690004</v>
      </c>
      <c r="C29">
        <f>C28*EXP(RATES!O30)*(1-DATA!$B$6)</f>
        <v>21125.31672672501</v>
      </c>
      <c r="D29">
        <f t="shared" si="1"/>
        <v>105626.58363362505</v>
      </c>
      <c r="E29">
        <f>E28*(1-'LIFE TABLE MALE'!D89/1000)</f>
        <v>0.38279328376033767</v>
      </c>
      <c r="F29">
        <f t="shared" si="2"/>
        <v>1.24254176182202E-2</v>
      </c>
      <c r="G29">
        <f t="shared" si="0"/>
        <v>105606.58363362505</v>
      </c>
      <c r="H29">
        <f>MAX(D29,DATA!$B$3)</f>
        <v>105626.58363362505</v>
      </c>
      <c r="I29">
        <f>G29*DATA!$B$7*F28*E29</f>
        <v>88.641813052802505</v>
      </c>
      <c r="J29">
        <f>H29*'LIFE TABLE MALE'!D89/1000*F28*E28</f>
        <v>70.822017313177071</v>
      </c>
      <c r="K29">
        <f>0</f>
        <v>0</v>
      </c>
      <c r="L29" s="43">
        <f>DATA!$B$8*1.1*((1+DATA!$B$9+0.01)^A28)*F29*E29</f>
        <v>0.56416460483510067</v>
      </c>
      <c r="M29">
        <f>B28*EXP(RATES!O30)*(DATA!$B$12)</f>
        <v>1209.629587624336</v>
      </c>
      <c r="N29">
        <f>C28*EXP(RATES!O30)*(DATA!$B$12)</f>
        <v>302.40739690608399</v>
      </c>
      <c r="O29">
        <f t="shared" si="3"/>
        <v>1512.0369845304199</v>
      </c>
      <c r="P29">
        <f t="shared" si="4"/>
        <v>7.1918019271824205</v>
      </c>
      <c r="Q29">
        <f>RATES!G30</f>
        <v>0.51924921182601969</v>
      </c>
      <c r="R29" s="44">
        <f t="shared" si="5"/>
        <v>167.2197968979971</v>
      </c>
      <c r="S29">
        <f t="shared" si="6"/>
        <v>86.828747740992085</v>
      </c>
      <c r="T29">
        <f>C28*EXP(RATES!O30)*(DATA!$B$6-DATA!$B$12)</f>
        <v>172.80422680347655</v>
      </c>
      <c r="U29">
        <f>B28*EXP(RATES!O30)*(DATA!$B$6-DATA!$B$12)</f>
        <v>691.21690721390621</v>
      </c>
      <c r="V29">
        <f t="shared" si="7"/>
        <v>864.02113401738279</v>
      </c>
      <c r="W29">
        <f t="shared" si="8"/>
        <v>4.1096011012470974</v>
      </c>
      <c r="X29">
        <f>W29*BASE!Q29</f>
        <v>2.1339071327418977</v>
      </c>
    </row>
    <row r="30" spans="1:24" x14ac:dyDescent="0.3">
      <c r="A30" s="5">
        <v>28</v>
      </c>
      <c r="B30">
        <f>B29*EXP(RATES!O31)*(1-DATA!$B$6)</f>
        <v>85020.543140026202</v>
      </c>
      <c r="C30">
        <f>C29*EXP(RATES!O31)*(1-DATA!$B$6)</f>
        <v>21255.135785006551</v>
      </c>
      <c r="D30">
        <f t="shared" si="1"/>
        <v>106275.67892503276</v>
      </c>
      <c r="E30">
        <f>E29*(1-'LIFE TABLE MALE'!D90/1000)</f>
        <v>0.33599119307109643</v>
      </c>
      <c r="F30">
        <f t="shared" si="2"/>
        <v>1.0561604975487169E-2</v>
      </c>
      <c r="G30">
        <f t="shared" si="0"/>
        <v>106255.67892503276</v>
      </c>
      <c r="H30">
        <f>MAX(D30,DATA!$B$3)</f>
        <v>106275.67892503276</v>
      </c>
      <c r="I30">
        <f>G30*DATA!$B$7*F29*E30</f>
        <v>66.539923591364058</v>
      </c>
      <c r="J30">
        <f>H30*'LIFE TABLE MALE'!D90/1000*F29*E29</f>
        <v>61.803082442915425</v>
      </c>
      <c r="K30">
        <f>0</f>
        <v>0</v>
      </c>
      <c r="L30" s="43">
        <f>DATA!$B$8*1.1*((1+DATA!$B$9+0.01)^A29)*F30*E30</f>
        <v>0.4335364034414102</v>
      </c>
      <c r="M30">
        <f>B29*EXP(RATES!O31)*(DATA!$B$12)</f>
        <v>1217.0629897345264</v>
      </c>
      <c r="N30">
        <f>C29*EXP(RATES!O31)*(DATA!$B$12)</f>
        <v>304.26574743363159</v>
      </c>
      <c r="O30">
        <f t="shared" si="3"/>
        <v>1521.3287371681579</v>
      </c>
      <c r="P30">
        <f t="shared" si="4"/>
        <v>5.3985966748466501</v>
      </c>
      <c r="Q30">
        <f>RATES!G31</f>
        <v>0.50472410428806358</v>
      </c>
      <c r="R30" s="44">
        <f t="shared" si="5"/>
        <v>134.17513911256754</v>
      </c>
      <c r="S30">
        <f t="shared" si="6"/>
        <v>67.721426906316978</v>
      </c>
      <c r="T30">
        <f>C29*EXP(RATES!O31)*(DATA!$B$6-DATA!$B$12)</f>
        <v>173.86614139064659</v>
      </c>
      <c r="U30">
        <f>B29*EXP(RATES!O31)*(DATA!$B$6-DATA!$B$12)</f>
        <v>695.46456556258636</v>
      </c>
      <c r="V30">
        <f t="shared" si="7"/>
        <v>869.33070695323295</v>
      </c>
      <c r="W30">
        <f t="shared" si="8"/>
        <v>3.084912385626656</v>
      </c>
      <c r="X30">
        <f>W30*BASE!Q30</f>
        <v>1.5570296406425674</v>
      </c>
    </row>
    <row r="31" spans="1:24" x14ac:dyDescent="0.3">
      <c r="A31" s="5">
        <v>29</v>
      </c>
      <c r="B31">
        <f>B30*EXP(RATES!O32)*(1-DATA!$B$6)</f>
        <v>85568.006571671765</v>
      </c>
      <c r="C31">
        <f>C30*EXP(RATES!O32)*(1-DATA!$B$6)</f>
        <v>21392.001642917941</v>
      </c>
      <c r="D31">
        <f t="shared" si="1"/>
        <v>106960.0082145897</v>
      </c>
      <c r="E31">
        <f>E30*(1-'LIFE TABLE MALE'!D91/1000)</f>
        <v>0.28899294993893926</v>
      </c>
      <c r="F31">
        <f t="shared" si="2"/>
        <v>8.9773642291640938E-3</v>
      </c>
      <c r="G31">
        <f t="shared" si="0"/>
        <v>106940.0082145897</v>
      </c>
      <c r="H31">
        <f>MAX(D31,DATA!$B$3)</f>
        <v>106960.0082145897</v>
      </c>
      <c r="I31">
        <f>G31*DATA!$B$7*F30*E31</f>
        <v>48.960815212711033</v>
      </c>
      <c r="J31">
        <f>H31*'LIFE TABLE MALE'!D91/1000*F30*E30</f>
        <v>53.092475002293185</v>
      </c>
      <c r="K31">
        <f>0</f>
        <v>0</v>
      </c>
      <c r="L31" s="43">
        <f>DATA!$B$8*1.1*((1+DATA!$B$9+0.01)^A30)*F31*E31</f>
        <v>0.32646834310997047</v>
      </c>
      <c r="M31">
        <f>B30*EXP(RATES!O32)*(DATA!$B$12)</f>
        <v>1224.8998895740335</v>
      </c>
      <c r="N31">
        <f>C30*EXP(RATES!O32)*(DATA!$B$12)</f>
        <v>306.22497239350838</v>
      </c>
      <c r="O31">
        <f t="shared" si="3"/>
        <v>1531.1248619675418</v>
      </c>
      <c r="P31">
        <f t="shared" si="4"/>
        <v>3.9723426422634929</v>
      </c>
      <c r="Q31">
        <f>RATES!G32</f>
        <v>0.49046199601095725</v>
      </c>
      <c r="R31" s="45">
        <f t="shared" si="5"/>
        <v>106.35210120037769</v>
      </c>
      <c r="S31">
        <f t="shared" si="6"/>
        <v>52.161663834696562</v>
      </c>
      <c r="T31">
        <f>C30*EXP(RATES!O32)*(DATA!$B$6-DATA!$B$12)</f>
        <v>174.98569851057619</v>
      </c>
      <c r="U31">
        <f>B30*EXP(RATES!O32)*(DATA!$B$6-DATA!$B$12)</f>
        <v>699.94279404230474</v>
      </c>
      <c r="V31">
        <f t="shared" si="7"/>
        <v>874.92849255288093</v>
      </c>
      <c r="W31">
        <f t="shared" si="8"/>
        <v>2.2699100812934243</v>
      </c>
      <c r="X31">
        <f>W31*BASE!Q31</f>
        <v>1.1133046292365671</v>
      </c>
    </row>
    <row r="32" spans="1:24" x14ac:dyDescent="0.3">
      <c r="A32" s="6">
        <v>30</v>
      </c>
      <c r="B32">
        <f>B31*EXP(RATES!O33)*(1-DATA!$B$6)</f>
        <v>86144.154157072146</v>
      </c>
      <c r="C32">
        <f>C31*EXP(RATES!O33)*(1-DATA!$B$6)</f>
        <v>21536.038539268036</v>
      </c>
      <c r="D32">
        <f t="shared" si="1"/>
        <v>107680.19269634018</v>
      </c>
      <c r="E32">
        <f>E31*(1-'LIFE TABLE MALE'!D92/1000)</f>
        <v>0.24274450939213651</v>
      </c>
      <c r="F32">
        <f t="shared" si="2"/>
        <v>7.6307595947894798E-3</v>
      </c>
      <c r="G32">
        <f t="shared" si="0"/>
        <v>107660.19269634018</v>
      </c>
      <c r="H32">
        <f>MAX(D32,DATA!$B$3)</f>
        <v>107680.19269634018</v>
      </c>
      <c r="I32">
        <f>G32*DATA!$B$7*F31*E32</f>
        <v>35.192058671277763</v>
      </c>
      <c r="J32">
        <f>H32*'LIFE TABLE MALE'!D92/1000*F31*E31</f>
        <v>44.707641843261861</v>
      </c>
      <c r="K32">
        <f>0</f>
        <v>0</v>
      </c>
      <c r="L32" s="43">
        <f>DATA!$B$8*1.1*((1+DATA!$B$9+0.01)^A31)*F32*E32</f>
        <v>0.24008188528926575</v>
      </c>
      <c r="M32">
        <f>B31*EXP(RATES!O33)*(DATA!$B$12)</f>
        <v>1233.1474010214827</v>
      </c>
      <c r="N32">
        <f>C31*EXP(RATES!O33)*(DATA!$B$12)</f>
        <v>308.28685025537067</v>
      </c>
      <c r="O32">
        <f t="shared" si="3"/>
        <v>1541.4342512768533</v>
      </c>
      <c r="P32">
        <f t="shared" si="4"/>
        <v>2.8552371904428</v>
      </c>
      <c r="Q32">
        <f>RATES!G33</f>
        <v>0.47646370067584165</v>
      </c>
      <c r="R32" s="45">
        <f t="shared" si="5"/>
        <v>82.995019590271681</v>
      </c>
      <c r="S32">
        <f t="shared" si="6"/>
        <v>39.544114171644821</v>
      </c>
      <c r="T32">
        <f>C31*EXP(RATES!O33)*(DATA!$B$6-DATA!$B$12)</f>
        <v>176.16391443164034</v>
      </c>
      <c r="U32">
        <f>B31*EXP(RATES!O33)*(DATA!$B$6-DATA!$B$12)</f>
        <v>704.65565772656134</v>
      </c>
      <c r="V32">
        <f t="shared" si="7"/>
        <v>880.81957215820171</v>
      </c>
      <c r="W32">
        <f t="shared" si="8"/>
        <v>1.6315641088244566</v>
      </c>
      <c r="X32">
        <f>W32*BASE!Q32</f>
        <v>0.77738107318038219</v>
      </c>
    </row>
    <row r="33" spans="1:24" x14ac:dyDescent="0.3">
      <c r="A33" s="5">
        <v>31</v>
      </c>
      <c r="B33">
        <f>B32*EXP(RATES!O34)*(1-DATA!$B$6)</f>
        <v>86775.747166721878</v>
      </c>
      <c r="C33">
        <f>C32*EXP(RATES!O34)*(1-DATA!$B$6)</f>
        <v>21693.936791680469</v>
      </c>
      <c r="D33">
        <f t="shared" si="1"/>
        <v>108469.68395840234</v>
      </c>
      <c r="E33">
        <f>E32*(1-'LIFE TABLE MALE'!D93/1000)</f>
        <v>0.1988663322971663</v>
      </c>
      <c r="F33">
        <f t="shared" si="2"/>
        <v>6.486145655571058E-3</v>
      </c>
      <c r="G33">
        <f t="shared" si="0"/>
        <v>108449.68395840234</v>
      </c>
      <c r="H33">
        <f>MAX(D33,DATA!$B$3)</f>
        <v>108469.68395840234</v>
      </c>
      <c r="I33">
        <f>G33*DATA!$B$7*F32*E33</f>
        <v>24.685878396937127</v>
      </c>
      <c r="J33">
        <f>H33*'LIFE TABLE MALE'!D93/1000*F32*E32</f>
        <v>36.318234031439403</v>
      </c>
      <c r="K33">
        <f>0</f>
        <v>0</v>
      </c>
      <c r="L33" s="43">
        <f>DATA!$B$8*1.1*((1+DATA!$B$9+0.01)^A32)*F33*E33</f>
        <v>0.17219771803621453</v>
      </c>
      <c r="M33">
        <f>B32*EXP(RATES!O34)*(DATA!$B$12)</f>
        <v>1242.1886097485749</v>
      </c>
      <c r="N33">
        <f>C32*EXP(RATES!O34)*(DATA!$B$12)</f>
        <v>310.54715243714372</v>
      </c>
      <c r="O33">
        <f t="shared" si="3"/>
        <v>1552.7357621857186</v>
      </c>
      <c r="P33">
        <f t="shared" si="4"/>
        <v>2.0028365897439477</v>
      </c>
      <c r="Q33">
        <f>RATES!G34</f>
        <v>0.46258987582736705</v>
      </c>
      <c r="R33" s="45">
        <f t="shared" si="5"/>
        <v>63.179146736156696</v>
      </c>
      <c r="S33">
        <f t="shared" si="6"/>
        <v>29.226033643557727</v>
      </c>
      <c r="T33">
        <f>C32*EXP(RATES!O34)*(DATA!$B$6-DATA!$B$12)</f>
        <v>177.45551567836782</v>
      </c>
      <c r="U33">
        <f>B32*EXP(RATES!O34)*(DATA!$B$6-DATA!$B$12)</f>
        <v>709.82206271347127</v>
      </c>
      <c r="V33">
        <f t="shared" si="7"/>
        <v>887.27757839183914</v>
      </c>
      <c r="W33">
        <f t="shared" si="8"/>
        <v>1.1444780512822557</v>
      </c>
      <c r="X33">
        <f>W33*BASE!Q33</f>
        <v>0.52942395962980571</v>
      </c>
    </row>
    <row r="34" spans="1:24" x14ac:dyDescent="0.3">
      <c r="A34" s="5">
        <v>32</v>
      </c>
      <c r="B34">
        <f>B33*EXP(RATES!O35)*(1-DATA!$B$6)</f>
        <v>87439.193933082599</v>
      </c>
      <c r="C34">
        <f>C33*EXP(RATES!O35)*(1-DATA!$B$6)</f>
        <v>21859.79848327065</v>
      </c>
      <c r="D34">
        <f t="shared" si="1"/>
        <v>109298.99241635326</v>
      </c>
      <c r="E34">
        <f>E33*(1-'LIFE TABLE MALE'!D94/1000)</f>
        <v>0.1590545553724837</v>
      </c>
      <c r="F34">
        <f t="shared" si="2"/>
        <v>5.5132238072353994E-3</v>
      </c>
      <c r="G34">
        <f t="shared" si="0"/>
        <v>109278.99241635326</v>
      </c>
      <c r="H34">
        <f>MAX(D34,DATA!$B$3)</f>
        <v>109298.99241635326</v>
      </c>
      <c r="I34">
        <f>G34*DATA!$B$7*F33*E34</f>
        <v>16.9106674892694</v>
      </c>
      <c r="J34">
        <f>H34*'LIFE TABLE MALE'!D94/1000*F33*E33</f>
        <v>28.223730561435943</v>
      </c>
      <c r="K34">
        <f>0</f>
        <v>0</v>
      </c>
      <c r="L34" s="43">
        <f>DATA!$B$8*1.1*((1+DATA!$B$9+0.01)^A33)*F34*E34</f>
        <v>0.12057808721243513</v>
      </c>
      <c r="M34">
        <f>B33*EXP(RATES!O35)*(DATA!$B$12)</f>
        <v>1251.6858027230637</v>
      </c>
      <c r="N34">
        <f>C33*EXP(RATES!O35)*(DATA!$B$12)</f>
        <v>312.92145068076593</v>
      </c>
      <c r="O34">
        <f t="shared" si="3"/>
        <v>1564.6072534038296</v>
      </c>
      <c r="P34">
        <f t="shared" si="4"/>
        <v>1.3720093596692684</v>
      </c>
      <c r="Q34">
        <f>RATES!G35</f>
        <v>0.44898020595178956</v>
      </c>
      <c r="R34" s="45">
        <f t="shared" si="5"/>
        <v>46.626985497587043</v>
      </c>
      <c r="S34">
        <f t="shared" si="6"/>
        <v>20.934593551617734</v>
      </c>
      <c r="T34">
        <f>C33*EXP(RATES!O35)*(DATA!$B$6-DATA!$B$12)</f>
        <v>178.81225753186621</v>
      </c>
      <c r="U34">
        <f>B33*EXP(RATES!O35)*(DATA!$B$6-DATA!$B$12)</f>
        <v>715.24903012746483</v>
      </c>
      <c r="V34">
        <f t="shared" si="7"/>
        <v>894.06128765933101</v>
      </c>
      <c r="W34">
        <f t="shared" si="8"/>
        <v>0.78400534838243885</v>
      </c>
      <c r="X34">
        <f>W34*BASE!Q34</f>
        <v>0.3520028827840519</v>
      </c>
    </row>
    <row r="35" spans="1:24" x14ac:dyDescent="0.3">
      <c r="A35" s="5">
        <v>33</v>
      </c>
      <c r="B35">
        <f>B34*EXP(RATES!O36)*(1-DATA!$B$6)</f>
        <v>88135.146395904914</v>
      </c>
      <c r="C35">
        <f>C34*EXP(RATES!O36)*(1-DATA!$B$6)</f>
        <v>22033.786598976229</v>
      </c>
      <c r="D35">
        <f t="shared" si="1"/>
        <v>110168.93299488115</v>
      </c>
      <c r="E35">
        <f>E34*(1-'LIFE TABLE MALE'!D95/1000)</f>
        <v>0.12331571729742245</v>
      </c>
      <c r="F35">
        <f t="shared" si="2"/>
        <v>4.6862402361500894E-3</v>
      </c>
      <c r="G35">
        <f t="shared" si="0"/>
        <v>110148.93299488115</v>
      </c>
      <c r="H35">
        <f>MAX(D35,DATA!$B$3)</f>
        <v>110168.93299488115</v>
      </c>
      <c r="I35">
        <f>G35*DATA!$B$7*F34*E35</f>
        <v>11.232996146352695</v>
      </c>
      <c r="J35">
        <f>H35*'LIFE TABLE MALE'!D95/1000*F34*E34</f>
        <v>21.707269338567791</v>
      </c>
      <c r="K35">
        <f>0</f>
        <v>0</v>
      </c>
      <c r="L35" s="43">
        <f>DATA!$B$8*1.1*((1+DATA!$B$9+0.01)^A34)*F35*E35</f>
        <v>8.1845887448836294E-2</v>
      </c>
      <c r="M35">
        <f>B34*EXP(RATES!O36)*(DATA!$B$12)</f>
        <v>1261.6483124158169</v>
      </c>
      <c r="N35">
        <f>C34*EXP(RATES!O36)*(DATA!$B$12)</f>
        <v>315.41207810395423</v>
      </c>
      <c r="O35">
        <f t="shared" si="3"/>
        <v>1577.0603905197711</v>
      </c>
      <c r="P35">
        <f t="shared" si="4"/>
        <v>0.91136281798769814</v>
      </c>
      <c r="Q35">
        <f>RATES!G36</f>
        <v>0.43563530089638008</v>
      </c>
      <c r="R35" s="45">
        <f t="shared" si="5"/>
        <v>33.933474190357018</v>
      </c>
      <c r="S35">
        <f t="shared" si="6"/>
        <v>14.782619239375727</v>
      </c>
      <c r="T35">
        <f>C34*EXP(RATES!O36)*(DATA!$B$6-DATA!$B$12)</f>
        <v>180.2354732022595</v>
      </c>
      <c r="U35">
        <f>B34*EXP(RATES!O36)*(DATA!$B$6-DATA!$B$12)</f>
        <v>720.94189280903799</v>
      </c>
      <c r="V35">
        <f t="shared" si="7"/>
        <v>901.17736601129752</v>
      </c>
      <c r="W35">
        <f t="shared" si="8"/>
        <v>0.52077875313582744</v>
      </c>
      <c r="X35">
        <f>W35*BASE!Q35</f>
        <v>0.22686960882276783</v>
      </c>
    </row>
    <row r="36" spans="1:24" x14ac:dyDescent="0.3">
      <c r="A36" s="5">
        <v>34</v>
      </c>
      <c r="B36">
        <f>B35*EXP(RATES!O37)*(1-DATA!$B$6)</f>
        <v>88864.291917679613</v>
      </c>
      <c r="C36">
        <f>C35*EXP(RATES!O37)*(1-DATA!$B$6)</f>
        <v>22216.072979419903</v>
      </c>
      <c r="D36">
        <f t="shared" si="1"/>
        <v>111080.36489709951</v>
      </c>
      <c r="E36">
        <f>E35*(1-'LIFE TABLE MALE'!D96/1000)</f>
        <v>9.2980118665901043E-2</v>
      </c>
      <c r="F36">
        <f t="shared" si="2"/>
        <v>3.9833042007275761E-3</v>
      </c>
      <c r="G36">
        <f t="shared" si="0"/>
        <v>111060.36489709951</v>
      </c>
      <c r="H36">
        <f>MAX(D36,DATA!$B$3)</f>
        <v>111080.36489709951</v>
      </c>
      <c r="I36">
        <f>G36*DATA!$B$7*F35*E36</f>
        <v>7.2588028285782284</v>
      </c>
      <c r="J36">
        <f>H36*'LIFE TABLE MALE'!D96/1000*F35*E35</f>
        <v>15.791173887283422</v>
      </c>
      <c r="K36">
        <f>0</f>
        <v>0</v>
      </c>
      <c r="L36" s="43">
        <f>DATA!$B$8*1.1*((1+DATA!$B$9+0.01)^A35)*F36*E36</f>
        <v>5.4028719554778906E-2</v>
      </c>
      <c r="M36">
        <f>B35*EXP(RATES!O37)*(DATA!$B$12)</f>
        <v>1272.0859783716919</v>
      </c>
      <c r="N36">
        <f>C35*EXP(RATES!O37)*(DATA!$B$12)</f>
        <v>318.02149459292298</v>
      </c>
      <c r="O36">
        <f t="shared" si="3"/>
        <v>1590.1074729646148</v>
      </c>
      <c r="P36">
        <f t="shared" si="4"/>
        <v>0.58892507921040294</v>
      </c>
      <c r="Q36">
        <f>RATES!G37</f>
        <v>0.42255550600771669</v>
      </c>
      <c r="R36" s="45">
        <f t="shared" si="5"/>
        <v>23.692930514626834</v>
      </c>
      <c r="S36">
        <f t="shared" si="6"/>
        <v>10.011578242413814</v>
      </c>
      <c r="T36">
        <f>C35*EXP(RATES!O37)*(DATA!$B$6-DATA!$B$12)</f>
        <v>181.72656833881308</v>
      </c>
      <c r="U36">
        <f>B35*EXP(RATES!O37)*(DATA!$B$6-DATA!$B$12)</f>
        <v>726.90627335525232</v>
      </c>
      <c r="V36">
        <f t="shared" si="7"/>
        <v>908.63284169406541</v>
      </c>
      <c r="W36">
        <f t="shared" si="8"/>
        <v>0.33652861669165879</v>
      </c>
      <c r="X36">
        <f>W36*BASE!Q36</f>
        <v>0.14220201991222081</v>
      </c>
    </row>
    <row r="37" spans="1:24" x14ac:dyDescent="0.3">
      <c r="A37" s="6">
        <v>35</v>
      </c>
      <c r="B37">
        <f>B36*EXP(RATES!O38)*(1-DATA!$B$6)</f>
        <v>89596.779479446108</v>
      </c>
      <c r="C37">
        <f>C36*EXP(RATES!O38)*(1-DATA!$B$6)</f>
        <v>22399.194869861527</v>
      </c>
      <c r="D37">
        <f t="shared" si="1"/>
        <v>111995.97434930764</v>
      </c>
      <c r="E37">
        <f>E36*(1-'LIFE TABLE MALE'!D97/1000)</f>
        <v>6.7353135477056972E-2</v>
      </c>
      <c r="F37">
        <f t="shared" si="2"/>
        <v>3.3858085706184394E-3</v>
      </c>
      <c r="G37">
        <f t="shared" si="0"/>
        <v>111975.97434930764</v>
      </c>
      <c r="H37">
        <f>MAX(D37,DATA!$B$3)</f>
        <v>111995.97434930764</v>
      </c>
      <c r="I37">
        <f>G37*DATA!$B$7*F36*E37</f>
        <v>4.506271992464332</v>
      </c>
      <c r="J37">
        <f>H37*'LIFE TABLE MALE'!D97/1000*F36*E36</f>
        <v>11.432556877563311</v>
      </c>
      <c r="K37">
        <f>0</f>
        <v>0</v>
      </c>
      <c r="L37" s="43">
        <f>DATA!$B$8*1.1*((1+DATA!$B$9+0.01)^A36)*F37*E37</f>
        <v>3.4264827329685159E-2</v>
      </c>
      <c r="M37">
        <f>B36*EXP(RATES!O38)*(DATA!$B$12)</f>
        <v>1282.5714853908441</v>
      </c>
      <c r="N37">
        <f>C36*EXP(RATES!O38)*(DATA!$B$12)</f>
        <v>320.64287134771104</v>
      </c>
      <c r="O37">
        <f t="shared" si="3"/>
        <v>1603.2143567385551</v>
      </c>
      <c r="P37">
        <f t="shared" si="4"/>
        <v>0.36560473478463873</v>
      </c>
      <c r="Q37">
        <f>RATES!G38</f>
        <v>0.40988073390848567</v>
      </c>
      <c r="R37" s="45">
        <f t="shared" si="5"/>
        <v>16.338698432141967</v>
      </c>
      <c r="S37">
        <f t="shared" si="6"/>
        <v>6.6969177044757737</v>
      </c>
      <c r="T37">
        <f>C36*EXP(RATES!O38)*(DATA!$B$6-DATA!$B$12)</f>
        <v>183.22449791297771</v>
      </c>
      <c r="U37">
        <f>B36*EXP(RATES!O38)*(DATA!$B$6-DATA!$B$12)</f>
        <v>732.89799165191084</v>
      </c>
      <c r="V37">
        <f t="shared" si="7"/>
        <v>916.12248956488861</v>
      </c>
      <c r="W37">
        <f t="shared" si="8"/>
        <v>0.20891699130550784</v>
      </c>
      <c r="X37">
        <f>W37*BASE!Q37</f>
        <v>8.5631049722254271E-2</v>
      </c>
    </row>
    <row r="38" spans="1:24" x14ac:dyDescent="0.3">
      <c r="A38" s="5">
        <v>36</v>
      </c>
      <c r="B38">
        <f>B37*EXP(RATES!O39)*(1-DATA!$B$6)</f>
        <v>90361.659728555722</v>
      </c>
      <c r="C38">
        <f>C37*EXP(RATES!O39)*(1-DATA!$B$6)</f>
        <v>22590.41493213893</v>
      </c>
      <c r="D38">
        <f t="shared" si="1"/>
        <v>112952.07466069465</v>
      </c>
      <c r="E38">
        <f>E37*(1-'LIFE TABLE MALE'!D98/1000)</f>
        <v>4.6772681765307828E-2</v>
      </c>
      <c r="F38">
        <f t="shared" si="2"/>
        <v>2.8779372850256733E-3</v>
      </c>
      <c r="G38">
        <f t="shared" si="0"/>
        <v>112932.07466069465</v>
      </c>
      <c r="H38">
        <f>MAX(D38,DATA!$B$3)</f>
        <v>112952.07466069465</v>
      </c>
      <c r="I38">
        <f>G38*DATA!$B$7*F37*E38</f>
        <v>2.6826451955111525</v>
      </c>
      <c r="J38">
        <f>H38*'LIFE TABLE MALE'!D98/1000*F37*E37</f>
        <v>7.8706673433759136</v>
      </c>
      <c r="K38">
        <f>0</f>
        <v>0</v>
      </c>
      <c r="L38" s="43">
        <f>DATA!$B$8*1.1*((1+DATA!$B$9+0.01)^A37)*F38*E38</f>
        <v>2.0832392588321869E-2</v>
      </c>
      <c r="M38">
        <f>B37*EXP(RATES!O39)*(DATA!$B$12)</f>
        <v>1293.520691410818</v>
      </c>
      <c r="N38">
        <f>C37*EXP(RATES!O39)*(DATA!$B$12)</f>
        <v>323.3801728527045</v>
      </c>
      <c r="O38">
        <f t="shared" si="3"/>
        <v>1616.9008642635226</v>
      </c>
      <c r="P38">
        <f t="shared" si="4"/>
        <v>0.21764915745101013</v>
      </c>
      <c r="Q38">
        <f>RATES!G39</f>
        <v>0.39747018785099719</v>
      </c>
      <c r="R38" s="46">
        <f t="shared" si="5"/>
        <v>10.791794088926398</v>
      </c>
      <c r="S38">
        <f t="shared" si="6"/>
        <v>4.2894164237748562</v>
      </c>
      <c r="T38">
        <f>C37*EXP(RATES!O39)*(DATA!$B$6-DATA!$B$12)</f>
        <v>184.78867020154539</v>
      </c>
      <c r="U38">
        <f>B37*EXP(RATES!O39)*(DATA!$B$6-DATA!$B$12)</f>
        <v>739.15468080618155</v>
      </c>
      <c r="V38">
        <f t="shared" si="7"/>
        <v>923.94335100772696</v>
      </c>
      <c r="W38">
        <f t="shared" si="8"/>
        <v>0.12437094711486289</v>
      </c>
      <c r="X38">
        <f>W38*BASE!Q38</f>
        <v>4.9433743712950992E-2</v>
      </c>
    </row>
    <row r="39" spans="1:24" x14ac:dyDescent="0.3">
      <c r="A39" s="5">
        <v>37</v>
      </c>
      <c r="B39">
        <f>B38*EXP(RATES!O40)*(1-DATA!$B$6)</f>
        <v>91159.651578764926</v>
      </c>
      <c r="C39">
        <f>C38*EXP(RATES!O40)*(1-DATA!$B$6)</f>
        <v>22789.912894691231</v>
      </c>
      <c r="D39">
        <f t="shared" si="1"/>
        <v>113949.56447345615</v>
      </c>
      <c r="E39">
        <f>E38*(1-'LIFE TABLE MALE'!D99/1000)</f>
        <v>3.1217167791388403E-2</v>
      </c>
      <c r="F39">
        <f t="shared" si="2"/>
        <v>2.4462466922718223E-3</v>
      </c>
      <c r="G39">
        <f t="shared" si="0"/>
        <v>113929.56447345615</v>
      </c>
      <c r="H39">
        <f>MAX(D39,DATA!$B$3)</f>
        <v>113949.56447345615</v>
      </c>
      <c r="I39">
        <f>G39*DATA!$B$7*F38*E39</f>
        <v>1.5353327738864102</v>
      </c>
      <c r="J39">
        <f>H39*'LIFE TABLE MALE'!D99/1000*F38*E38</f>
        <v>5.1012705892288768</v>
      </c>
      <c r="K39">
        <f>0</f>
        <v>0</v>
      </c>
      <c r="L39" s="43">
        <f>DATA!$B$8*1.1*((1+DATA!$B$9+0.01)^A38)*F39*E39</f>
        <v>1.2172969364133715E-2</v>
      </c>
      <c r="M39">
        <f>B38*EXP(RATES!O40)*(DATA!$B$12)</f>
        <v>1304.9438876305819</v>
      </c>
      <c r="N39">
        <f>C38*EXP(RATES!O40)*(DATA!$B$12)</f>
        <v>326.23597190764548</v>
      </c>
      <c r="O39">
        <f t="shared" si="3"/>
        <v>1631.1798595382274</v>
      </c>
      <c r="P39">
        <f t="shared" si="4"/>
        <v>0.12456487617432351</v>
      </c>
      <c r="Q39">
        <f>RATES!G40</f>
        <v>0.38532302185706108</v>
      </c>
      <c r="R39" s="46">
        <f t="shared" si="5"/>
        <v>6.7733412086537443</v>
      </c>
      <c r="S39">
        <f t="shared" si="6"/>
        <v>2.609924302587419</v>
      </c>
      <c r="T39">
        <f>C38*EXP(RATES!O40)*(DATA!$B$6-DATA!$B$12)</f>
        <v>186.42055537579736</v>
      </c>
      <c r="U39">
        <f>B38*EXP(RATES!O40)*(DATA!$B$6-DATA!$B$12)</f>
        <v>745.68222150318945</v>
      </c>
      <c r="V39">
        <f t="shared" si="7"/>
        <v>932.10277687898679</v>
      </c>
      <c r="W39">
        <f t="shared" si="8"/>
        <v>7.117992924247056E-2</v>
      </c>
      <c r="X39">
        <f>W39*BASE!Q39</f>
        <v>2.7427265431280545E-2</v>
      </c>
    </row>
    <row r="40" spans="1:24" x14ac:dyDescent="0.3">
      <c r="A40" s="5">
        <v>38</v>
      </c>
      <c r="B40">
        <f>B39*EXP(RATES!O41)*(1-DATA!$B$6)</f>
        <v>91991.509139589645</v>
      </c>
      <c r="C40">
        <f>C39*EXP(RATES!O41)*(1-DATA!$B$6)</f>
        <v>22997.877284897411</v>
      </c>
      <c r="D40">
        <f t="shared" si="1"/>
        <v>114989.38642448705</v>
      </c>
      <c r="E40">
        <f>E39*(1-'LIFE TABLE MALE'!D100/1000)</f>
        <v>2.0085822836336076E-2</v>
      </c>
      <c r="F40">
        <f t="shared" si="2"/>
        <v>2.0793096884310488E-3</v>
      </c>
      <c r="G40">
        <f t="shared" si="0"/>
        <v>114969.38642448705</v>
      </c>
      <c r="H40">
        <f>MAX(D40,DATA!$B$3)</f>
        <v>114989.38642448705</v>
      </c>
      <c r="I40">
        <f>G40*DATA!$B$7*F39*E40</f>
        <v>0.84735101074959729</v>
      </c>
      <c r="J40">
        <f>H40*'LIFE TABLE MALE'!D100/1000*F39*E39</f>
        <v>3.1311628065071728</v>
      </c>
      <c r="K40">
        <f>0</f>
        <v>0</v>
      </c>
      <c r="L40" s="43">
        <f>DATA!$B$8*1.1*((1+DATA!$B$9+0.01)^A39)*F40*E40</f>
        <v>6.8572314525339826E-3</v>
      </c>
      <c r="M40">
        <f>B39*EXP(RATES!O41)*(DATA!$B$12)</f>
        <v>1316.8518690738806</v>
      </c>
      <c r="N40">
        <f>C39*EXP(RATES!O41)*(DATA!$B$12)</f>
        <v>329.21296726847015</v>
      </c>
      <c r="O40">
        <f t="shared" si="3"/>
        <v>1646.0648363423506</v>
      </c>
      <c r="P40">
        <f t="shared" si="4"/>
        <v>6.8747315221903235E-2</v>
      </c>
      <c r="Q40">
        <f>RATES!G41</f>
        <v>0.37343818647922755</v>
      </c>
      <c r="R40" s="46">
        <f t="shared" si="5"/>
        <v>4.0541183639312068</v>
      </c>
      <c r="S40">
        <f t="shared" si="6"/>
        <v>1.513962609598603</v>
      </c>
      <c r="T40">
        <f>C39*EXP(RATES!O41)*(DATA!$B$6-DATA!$B$12)</f>
        <v>188.12169558198289</v>
      </c>
      <c r="U40">
        <f>B39*EXP(RATES!O41)*(DATA!$B$6-DATA!$B$12)</f>
        <v>752.48678232793156</v>
      </c>
      <c r="V40">
        <f t="shared" si="7"/>
        <v>940.60847790991443</v>
      </c>
      <c r="W40">
        <f t="shared" si="8"/>
        <v>3.9284180126801835E-2</v>
      </c>
      <c r="X40">
        <f>W40*BASE!Q40</f>
        <v>1.4670212983876189E-2</v>
      </c>
    </row>
    <row r="41" spans="1:24" x14ac:dyDescent="0.3">
      <c r="A41" s="5">
        <v>39</v>
      </c>
      <c r="B41">
        <f>B40*EXP(RATES!O42)*(1-DATA!$B$6)</f>
        <v>92822.74661856427</v>
      </c>
      <c r="C41">
        <f>C40*EXP(RATES!O42)*(1-DATA!$B$6)</f>
        <v>23205.686654641067</v>
      </c>
      <c r="D41">
        <f t="shared" si="1"/>
        <v>116028.43327320533</v>
      </c>
      <c r="E41">
        <f>E40*(1-'LIFE TABLE MALE'!D101/1000)</f>
        <v>1.2471630665793342E-2</v>
      </c>
      <c r="F41">
        <f t="shared" si="2"/>
        <v>1.7674132351663914E-3</v>
      </c>
      <c r="G41">
        <f t="shared" si="0"/>
        <v>116008.43327320533</v>
      </c>
      <c r="H41">
        <f>MAX(D41,DATA!$B$3)</f>
        <v>116028.43327320533</v>
      </c>
      <c r="I41">
        <f>G41*DATA!$B$7*F40*E41</f>
        <v>0.45125625927611096</v>
      </c>
      <c r="J41">
        <f>H41*'LIFE TABLE MALE'!D101/1000*F40*E40</f>
        <v>1.8369927348500696</v>
      </c>
      <c r="K41">
        <f>0</f>
        <v>0</v>
      </c>
      <c r="L41" s="43">
        <f>DATA!$B$8*1.1*((1+DATA!$B$9+0.01)^A40)*F41*E41</f>
        <v>3.7276795601928711E-3</v>
      </c>
      <c r="M41">
        <f>B40*EXP(RATES!O42)*(DATA!$B$12)</f>
        <v>1328.7509740898772</v>
      </c>
      <c r="N41">
        <f>C40*EXP(RATES!O42)*(DATA!$B$12)</f>
        <v>332.1877435224693</v>
      </c>
      <c r="O41">
        <f t="shared" si="3"/>
        <v>1660.9387176123464</v>
      </c>
      <c r="P41">
        <f t="shared" si="4"/>
        <v>3.6611283377232726E-2</v>
      </c>
      <c r="Q41">
        <f>RATES!G42</f>
        <v>0.36195193998143993</v>
      </c>
      <c r="R41" s="46">
        <f t="shared" si="5"/>
        <v>2.3285879570636063</v>
      </c>
      <c r="S41">
        <f t="shared" si="6"/>
        <v>0.84283692847659031</v>
      </c>
      <c r="T41">
        <f>C40*EXP(RATES!O42)*(DATA!$B$6-DATA!$B$12)</f>
        <v>189.82156772712528</v>
      </c>
      <c r="U41">
        <f>B40*EXP(RATES!O42)*(DATA!$B$6-DATA!$B$12)</f>
        <v>759.28627090850114</v>
      </c>
      <c r="V41">
        <f t="shared" si="7"/>
        <v>949.10783863562642</v>
      </c>
      <c r="W41">
        <f t="shared" si="8"/>
        <v>2.0920733358418694E-2</v>
      </c>
      <c r="X41">
        <f>W41*BASE!Q41</f>
        <v>7.5723000249140714E-3</v>
      </c>
    </row>
    <row r="42" spans="1:24" x14ac:dyDescent="0.3">
      <c r="A42" s="6">
        <v>40</v>
      </c>
      <c r="B42">
        <f>B41*EXP(RATES!O43)*(1-DATA!$B$6)</f>
        <v>93686.981367791916</v>
      </c>
      <c r="C42">
        <f>C41*EXP(RATES!O43)*(1-DATA!$B$6)</f>
        <v>23421.745341947979</v>
      </c>
      <c r="D42">
        <f t="shared" si="1"/>
        <v>117108.72670973989</v>
      </c>
      <c r="E42">
        <f>E41*(1-'LIFE TABLE MALE'!D102/1000)</f>
        <v>7.4516144932450555E-3</v>
      </c>
      <c r="F42">
        <f t="shared" si="2"/>
        <v>1.5023012498914326E-3</v>
      </c>
      <c r="G42">
        <f t="shared" si="0"/>
        <v>117088.72670973989</v>
      </c>
      <c r="H42">
        <f>MAX(D42,DATA!$B$3)</f>
        <v>117108.72670973989</v>
      </c>
      <c r="I42">
        <f>G42*DATA!$B$7*F41*E42</f>
        <v>0.23131022118899602</v>
      </c>
      <c r="J42">
        <f>H42*'LIFE TABLE MALE'!D102/1000*F41*E41</f>
        <v>1.0390405053583736</v>
      </c>
      <c r="K42">
        <f>0</f>
        <v>0</v>
      </c>
      <c r="L42" s="43">
        <f>DATA!$B$8*1.1*((1+DATA!$B$9+0.01)^A41)*F42*E42</f>
        <v>1.9499427480251413E-3</v>
      </c>
      <c r="M42">
        <f>B41*EXP(RATES!O43)*(DATA!$B$12)</f>
        <v>1341.122432667778</v>
      </c>
      <c r="N42">
        <f>C41*EXP(RATES!O43)*(DATA!$B$12)</f>
        <v>335.28060816694449</v>
      </c>
      <c r="O42">
        <f t="shared" si="3"/>
        <v>1676.4030408347226</v>
      </c>
      <c r="P42">
        <f t="shared" si="4"/>
        <v>1.8766610798086322E-2</v>
      </c>
      <c r="Q42">
        <f>RATES!G43</f>
        <v>0.35072355328981947</v>
      </c>
      <c r="R42" s="46">
        <f t="shared" si="5"/>
        <v>1.2910672800934813</v>
      </c>
      <c r="S42">
        <f t="shared" si="6"/>
        <v>0.45280770401060833</v>
      </c>
      <c r="T42">
        <f>C41*EXP(RATES!O43)*(DATA!$B$6-DATA!$B$12)</f>
        <v>191.58891895253967</v>
      </c>
      <c r="U42">
        <f>B41*EXP(RATES!O43)*(DATA!$B$6-DATA!$B$12)</f>
        <v>766.35567581015869</v>
      </c>
      <c r="V42">
        <f t="shared" si="7"/>
        <v>957.94459476269833</v>
      </c>
      <c r="W42">
        <f t="shared" si="8"/>
        <v>1.0723777598906466E-2</v>
      </c>
      <c r="X42">
        <f>W42*BASE!Q42</f>
        <v>3.7610813841782442E-3</v>
      </c>
    </row>
    <row r="43" spans="1:24" x14ac:dyDescent="0.3">
      <c r="A43" s="5">
        <v>41</v>
      </c>
      <c r="B43">
        <f>B42*EXP(RATES!O44)*(1-DATA!$B$6)</f>
        <v>94547.223145914031</v>
      </c>
      <c r="C43">
        <f>C42*EXP(RATES!O44)*(1-DATA!$B$6)</f>
        <v>23636.805786478508</v>
      </c>
      <c r="D43">
        <f t="shared" si="1"/>
        <v>118184.02893239254</v>
      </c>
      <c r="E43">
        <f>E42*(1-'LIFE TABLE MALE'!D103/1000)</f>
        <v>4.2161420347981409E-3</v>
      </c>
      <c r="F43">
        <f t="shared" si="2"/>
        <v>1.2769560624077175E-3</v>
      </c>
      <c r="G43">
        <f t="shared" si="0"/>
        <v>118164.02893239254</v>
      </c>
      <c r="H43">
        <f>MAX(D43,DATA!$B$3)</f>
        <v>118184.02893239254</v>
      </c>
      <c r="I43">
        <f>G43*DATA!$B$7*F42*E43</f>
        <v>0.11226614524850258</v>
      </c>
      <c r="J43">
        <f>H43*'LIFE TABLE MALE'!D103/1000*F42*E42</f>
        <v>0.57445171058599309</v>
      </c>
      <c r="K43">
        <f>0</f>
        <v>0</v>
      </c>
      <c r="L43" s="43">
        <f>DATA!$B$8*1.1*((1+DATA!$B$9+0.01)^A42)*F43*E43</f>
        <v>9.659237956474038E-4</v>
      </c>
      <c r="M43">
        <f>B42*EXP(RATES!O44)*(DATA!$B$12)</f>
        <v>1353.4367321500988</v>
      </c>
      <c r="N43">
        <f>C42*EXP(RATES!O44)*(DATA!$B$12)</f>
        <v>338.3591830375247</v>
      </c>
      <c r="O43">
        <f t="shared" si="3"/>
        <v>1691.7959151876235</v>
      </c>
      <c r="P43">
        <f t="shared" si="4"/>
        <v>9.1083384406182369E-3</v>
      </c>
      <c r="Q43">
        <f>RATES!G44</f>
        <v>0.33988676611542612</v>
      </c>
      <c r="R43" s="46">
        <f t="shared" si="5"/>
        <v>0.69679211807076125</v>
      </c>
      <c r="S43">
        <f t="shared" si="6"/>
        <v>0.23683041966578922</v>
      </c>
      <c r="T43">
        <f>C42*EXP(RATES!O44)*(DATA!$B$6-DATA!$B$12)</f>
        <v>193.34810459287121</v>
      </c>
      <c r="U43">
        <f>B42*EXP(RATES!O44)*(DATA!$B$6-DATA!$B$12)</f>
        <v>773.39241837148484</v>
      </c>
      <c r="V43">
        <f t="shared" si="7"/>
        <v>966.74052296435605</v>
      </c>
      <c r="W43">
        <f t="shared" si="8"/>
        <v>5.2047648232104206E-3</v>
      </c>
      <c r="X43">
        <f>W43*BASE!Q43</f>
        <v>1.7690306841523175E-3</v>
      </c>
    </row>
    <row r="44" spans="1:24" x14ac:dyDescent="0.3">
      <c r="A44" s="5">
        <v>42</v>
      </c>
      <c r="B44">
        <f>B43*EXP(RATES!O45)*(1-DATA!$B$6)</f>
        <v>95439.467610481792</v>
      </c>
      <c r="C44">
        <f>C43*EXP(RATES!O45)*(1-DATA!$B$6)</f>
        <v>23859.866902620448</v>
      </c>
      <c r="D44">
        <f t="shared" si="1"/>
        <v>119299.33451310224</v>
      </c>
      <c r="E44">
        <f>E43*(1-'LIFE TABLE MALE'!D104/1000)</f>
        <v>2.2139168837298946E-3</v>
      </c>
      <c r="F44">
        <f t="shared" si="2"/>
        <v>1.08541265304656E-3</v>
      </c>
      <c r="G44">
        <f t="shared" si="0"/>
        <v>119279.33451310224</v>
      </c>
      <c r="H44">
        <f>MAX(D44,DATA!$B$3)</f>
        <v>119299.33451310224</v>
      </c>
      <c r="I44">
        <f>G44*DATA!$B$7*F43*E44</f>
        <v>5.0581736291732661E-2</v>
      </c>
      <c r="J44">
        <f>H44*'LIFE TABLE MALE'!D104/1000*F43*E43</f>
        <v>0.30501899642795832</v>
      </c>
      <c r="K44">
        <f>0</f>
        <v>0</v>
      </c>
      <c r="L44" s="43">
        <f>DATA!$B$8*1.1*((1+DATA!$B$9+0.01)^A43)*F44*E44</f>
        <v>4.4406351747164254E-4</v>
      </c>
      <c r="M44">
        <f>B43*EXP(RATES!O45)*(DATA!$B$12)</f>
        <v>1366.2091477983079</v>
      </c>
      <c r="N44">
        <f>C43*EXP(RATES!O45)*(DATA!$B$12)</f>
        <v>341.55228694957697</v>
      </c>
      <c r="O44">
        <f t="shared" si="3"/>
        <v>1707.7614347478848</v>
      </c>
      <c r="P44">
        <f t="shared" si="4"/>
        <v>4.1037736089594504E-3</v>
      </c>
      <c r="Q44">
        <f>RATES!G45</f>
        <v>0.32930162970189214</v>
      </c>
      <c r="R44" s="46">
        <f t="shared" si="5"/>
        <v>0.36014856984612209</v>
      </c>
      <c r="S44">
        <f t="shared" si="6"/>
        <v>0.11859751098513373</v>
      </c>
      <c r="T44">
        <f>C43*EXP(RATES!O45)*(DATA!$B$6-DATA!$B$12)</f>
        <v>195.17273539975824</v>
      </c>
      <c r="U44">
        <f>B43*EXP(RATES!O45)*(DATA!$B$6-DATA!$B$12)</f>
        <v>780.69094159903295</v>
      </c>
      <c r="V44">
        <f t="shared" si="7"/>
        <v>975.86367699879122</v>
      </c>
      <c r="W44">
        <f t="shared" si="8"/>
        <v>2.3450134908339711E-3</v>
      </c>
      <c r="X44">
        <f>W44*BASE!Q44</f>
        <v>7.7221676420454973E-4</v>
      </c>
    </row>
    <row r="45" spans="1:24" x14ac:dyDescent="0.3">
      <c r="A45" s="5">
        <v>43</v>
      </c>
      <c r="B45">
        <f>B44*EXP(RATES!O46)*(1-DATA!$B$6)</f>
        <v>96364.465078835521</v>
      </c>
      <c r="C45">
        <f>C44*EXP(RATES!O46)*(1-DATA!$B$6)</f>
        <v>24091.11626970888</v>
      </c>
      <c r="D45">
        <f t="shared" si="1"/>
        <v>120455.58134854439</v>
      </c>
      <c r="E45">
        <f>E44*(1-'LIFE TABLE MALE'!D105/1000)</f>
        <v>1.0858367228099039E-3</v>
      </c>
      <c r="F45">
        <f t="shared" si="2"/>
        <v>9.2260075508957592E-4</v>
      </c>
      <c r="G45">
        <f t="shared" si="0"/>
        <v>120435.58134854439</v>
      </c>
      <c r="H45">
        <f>MAX(D45,DATA!$B$3)</f>
        <v>120455.58134854439</v>
      </c>
      <c r="I45">
        <f>G45*DATA!$B$7*F44*E45</f>
        <v>2.1291461705298567E-2</v>
      </c>
      <c r="J45">
        <f>H45*'LIFE TABLE MALE'!D105/1000*F44*E44</f>
        <v>0.14748972623818557</v>
      </c>
      <c r="K45">
        <f>0</f>
        <v>0</v>
      </c>
      <c r="L45" s="43">
        <f>DATA!$B$8*1.1*((1+DATA!$B$9+0.01)^A44)*F45*E45</f>
        <v>1.906796992037665E-4</v>
      </c>
      <c r="M45">
        <f>B44*EXP(RATES!O46)*(DATA!$B$12)</f>
        <v>1379.4504203514286</v>
      </c>
      <c r="N45">
        <f>C44*EXP(RATES!O46)*(DATA!$B$12)</f>
        <v>344.86260508785716</v>
      </c>
      <c r="O45">
        <f t="shared" si="3"/>
        <v>1724.3130254392859</v>
      </c>
      <c r="P45">
        <f t="shared" si="4"/>
        <v>1.7274060642933089E-3</v>
      </c>
      <c r="Q45">
        <f>RATES!G46</f>
        <v>0.3189655855815991</v>
      </c>
      <c r="R45" s="46">
        <f t="shared" si="5"/>
        <v>0.17069927370698124</v>
      </c>
      <c r="S45">
        <f t="shared" si="6"/>
        <v>5.4447193796300933E-2</v>
      </c>
      <c r="T45">
        <f>C44*EXP(RATES!O46)*(DATA!$B$6-DATA!$B$12)</f>
        <v>197.06434576448979</v>
      </c>
      <c r="U45">
        <f>B44*EXP(RATES!O46)*(DATA!$B$6-DATA!$B$12)</f>
        <v>788.25738305795915</v>
      </c>
      <c r="V45">
        <f t="shared" si="7"/>
        <v>985.3217288224489</v>
      </c>
      <c r="W45">
        <f t="shared" si="8"/>
        <v>9.8708917959617628E-4</v>
      </c>
      <c r="X45">
        <f>W45*BASE!Q45</f>
        <v>3.1484747819115463E-4</v>
      </c>
    </row>
    <row r="46" spans="1:24" x14ac:dyDescent="0.3">
      <c r="A46" s="5">
        <v>44</v>
      </c>
      <c r="B46">
        <f>B45*EXP(RATES!O47)*(1-DATA!$B$6)</f>
        <v>97281.312696218753</v>
      </c>
      <c r="C46">
        <f>C45*EXP(RATES!O47)*(1-DATA!$B$6)</f>
        <v>24320.328174054688</v>
      </c>
      <c r="D46">
        <f t="shared" si="1"/>
        <v>121601.64087027343</v>
      </c>
      <c r="E46">
        <f>E45*(1-'LIFE TABLE MALE'!D106/1000)</f>
        <v>4.9467420147581884E-4</v>
      </c>
      <c r="F46">
        <f t="shared" si="2"/>
        <v>7.8421064182613946E-4</v>
      </c>
      <c r="G46">
        <f t="shared" si="0"/>
        <v>121581.64087027343</v>
      </c>
      <c r="H46">
        <f>MAX(D46,DATA!$B$3)</f>
        <v>121601.64087027343</v>
      </c>
      <c r="I46">
        <f>G46*DATA!$B$7*F45*E46</f>
        <v>8.3232382528743674E-3</v>
      </c>
      <c r="J46">
        <f>H46*'LIFE TABLE MALE'!D106/1000*F45*E45</f>
        <v>6.6322384751434163E-2</v>
      </c>
      <c r="K46">
        <f>0</f>
        <v>0</v>
      </c>
      <c r="L46" s="43">
        <f>DATA!$B$8*1.1*((1+DATA!$B$9+0.01)^A45)*F46*E46</f>
        <v>7.6052823944729877E-5</v>
      </c>
      <c r="M46">
        <f>B45*EXP(RATES!O47)*(DATA!$B$12)</f>
        <v>1392.5750283712298</v>
      </c>
      <c r="N46">
        <f>C45*EXP(RATES!O47)*(DATA!$B$12)</f>
        <v>348.14375709280745</v>
      </c>
      <c r="O46">
        <f t="shared" si="3"/>
        <v>1740.7187854640372</v>
      </c>
      <c r="P46">
        <f t="shared" si="4"/>
        <v>6.7527490264262049E-4</v>
      </c>
      <c r="Q46">
        <f>RATES!G47</f>
        <v>0.30900832177573956</v>
      </c>
      <c r="R46" s="46">
        <f t="shared" si="5"/>
        <v>7.539695073089589E-2</v>
      </c>
      <c r="S46">
        <f t="shared" si="6"/>
        <v>2.3298285212362258E-2</v>
      </c>
      <c r="T46">
        <f>C45*EXP(RATES!O47)*(DATA!$B$6-DATA!$B$12)</f>
        <v>198.93928976731848</v>
      </c>
      <c r="U46">
        <f>B45*EXP(RATES!O47)*(DATA!$B$6-DATA!$B$12)</f>
        <v>795.75715906927394</v>
      </c>
      <c r="V46">
        <f t="shared" si="7"/>
        <v>994.69644883659248</v>
      </c>
      <c r="W46">
        <f t="shared" si="8"/>
        <v>3.8587137293864018E-4</v>
      </c>
      <c r="X46">
        <f>W46*BASE!Q46</f>
        <v>1.1923746537306972E-4</v>
      </c>
    </row>
    <row r="47" spans="1:24" x14ac:dyDescent="0.3">
      <c r="A47" s="6">
        <v>45</v>
      </c>
      <c r="B47">
        <f>B46*EXP(RATES!O48)*(1-DATA!$B$6)</f>
        <v>98229.776108477323</v>
      </c>
      <c r="C47">
        <f>C46*EXP(RATES!O48)*(1-DATA!$B$6)</f>
        <v>24557.444027119331</v>
      </c>
      <c r="D47">
        <f t="shared" si="1"/>
        <v>122787.22013559665</v>
      </c>
      <c r="E47">
        <f>E46*(1-'LIFE TABLE MALE'!D107/1000)</f>
        <v>2.0813801883623825E-4</v>
      </c>
      <c r="F47">
        <f t="shared" si="2"/>
        <v>6.6657904555221851E-4</v>
      </c>
      <c r="G47">
        <f t="shared" si="0"/>
        <v>122767.22013559665</v>
      </c>
      <c r="H47">
        <f>MAX(D47,DATA!$B$3)</f>
        <v>122787.22013559665</v>
      </c>
      <c r="I47">
        <f>G47*DATA!$B$7*F46*E47</f>
        <v>3.0057844195118602E-3</v>
      </c>
      <c r="J47">
        <f>H47*'LIFE TABLE MALE'!D107/1000*F46*E46</f>
        <v>2.7590868373747836E-2</v>
      </c>
      <c r="K47">
        <f>0</f>
        <v>0</v>
      </c>
      <c r="L47" s="43">
        <f>DATA!$B$8*1.1*((1+DATA!$B$9+0.01)^A46)*F47*E47</f>
        <v>2.8015840103683815E-5</v>
      </c>
      <c r="M47">
        <f>B46*EXP(RATES!O48)*(DATA!$B$12)</f>
        <v>1406.1522142317817</v>
      </c>
      <c r="N47">
        <f>C46*EXP(RATES!O48)*(DATA!$B$12)</f>
        <v>351.53805355794543</v>
      </c>
      <c r="O47">
        <f t="shared" si="3"/>
        <v>1757.6902677897272</v>
      </c>
      <c r="P47">
        <f t="shared" si="4"/>
        <v>2.4386272454500734E-4</v>
      </c>
      <c r="Q47">
        <f>RATES!G48</f>
        <v>0.29929213083059769</v>
      </c>
      <c r="R47" s="46">
        <f t="shared" si="5"/>
        <v>3.0868531357908388E-2</v>
      </c>
      <c r="S47">
        <f t="shared" si="6"/>
        <v>9.2387085257195252E-3</v>
      </c>
      <c r="T47">
        <f>C46*EXP(RATES!O48)*(DATA!$B$6-DATA!$B$12)</f>
        <v>200.87888774739736</v>
      </c>
      <c r="U47">
        <f>B46*EXP(RATES!O48)*(DATA!$B$6-DATA!$B$12)</f>
        <v>803.51555098958943</v>
      </c>
      <c r="V47">
        <f t="shared" si="7"/>
        <v>1004.3944387369868</v>
      </c>
      <c r="W47">
        <f t="shared" si="8"/>
        <v>1.3935012831143274E-4</v>
      </c>
      <c r="X47">
        <f>W47*BASE!Q47</f>
        <v>4.1706396833845905E-5</v>
      </c>
    </row>
    <row r="48" spans="1:24" x14ac:dyDescent="0.3">
      <c r="A48" s="5">
        <v>46</v>
      </c>
      <c r="B48">
        <f>B47*EXP(RATES!O49)*(1-DATA!$B$6)</f>
        <v>99166.189047448002</v>
      </c>
      <c r="C48">
        <f>C47*EXP(RATES!O49)*(1-DATA!$B$6)</f>
        <v>24791.547261862001</v>
      </c>
      <c r="D48">
        <f t="shared" si="1"/>
        <v>123957.73630931</v>
      </c>
      <c r="E48">
        <f>E47*(1-'LIFE TABLE MALE'!D108/1000)</f>
        <v>8.0415959354706781E-5</v>
      </c>
      <c r="F48">
        <f t="shared" si="2"/>
        <v>5.665921887193857E-4</v>
      </c>
      <c r="G48">
        <f t="shared" si="0"/>
        <v>123937.73630931</v>
      </c>
      <c r="H48">
        <f>MAX(D48,DATA!$B$3)</f>
        <v>123957.73630931</v>
      </c>
      <c r="I48">
        <f>G48*DATA!$B$7*F47*E48</f>
        <v>9.9652620423495639E-4</v>
      </c>
      <c r="J48">
        <f>H48*'LIFE TABLE MALE'!D108/1000*F47*E47</f>
        <v>1.0553371017208659E-2</v>
      </c>
      <c r="K48">
        <f>0</f>
        <v>0</v>
      </c>
      <c r="L48" s="43">
        <f>DATA!$B$8*1.1*((1+DATA!$B$9+0.01)^A47)*F48*E48</f>
        <v>9.4765581417588447E-6</v>
      </c>
      <c r="M48">
        <f>B47*EXP(RATES!O49)*(DATA!$B$12)</f>
        <v>1419.5568984297261</v>
      </c>
      <c r="N48">
        <f>C47*EXP(RATES!O49)*(DATA!$B$12)</f>
        <v>354.88922460743152</v>
      </c>
      <c r="O48">
        <f t="shared" si="3"/>
        <v>1774.4461230371576</v>
      </c>
      <c r="P48">
        <f t="shared" si="4"/>
        <v>8.0849185267086352E-5</v>
      </c>
      <c r="Q48">
        <f>RATES!G49</f>
        <v>0.28994370460990543</v>
      </c>
      <c r="R48" s="46">
        <f t="shared" si="5"/>
        <v>1.164022296485246E-2</v>
      </c>
      <c r="S48">
        <f t="shared" si="6"/>
        <v>3.3750093689146193E-3</v>
      </c>
      <c r="T48">
        <f>C47*EXP(RATES!O49)*(DATA!$B$6-DATA!$B$12)</f>
        <v>202.79384263281796</v>
      </c>
      <c r="U48">
        <f>B47*EXP(RATES!O49)*(DATA!$B$6-DATA!$B$12)</f>
        <v>811.17537053127182</v>
      </c>
      <c r="V48">
        <f t="shared" si="7"/>
        <v>1013.9692131640898</v>
      </c>
      <c r="W48">
        <f t="shared" si="8"/>
        <v>4.6199534438335047E-5</v>
      </c>
      <c r="X48">
        <f>W48*BASE!Q48</f>
        <v>1.3395264166303771E-5</v>
      </c>
    </row>
    <row r="49" spans="1:24" x14ac:dyDescent="0.3">
      <c r="A49" s="5">
        <v>47</v>
      </c>
      <c r="B49">
        <f>B48*EXP(RATES!O50)*(1-DATA!$B$6)</f>
        <v>100132.91784628085</v>
      </c>
      <c r="C49">
        <f>C48*EXP(RATES!O50)*(1-DATA!$B$6)</f>
        <v>25033.229461570212</v>
      </c>
      <c r="D49">
        <f t="shared" si="1"/>
        <v>125166.14730785106</v>
      </c>
      <c r="E49">
        <f>E48*(1-'LIFE TABLE MALE'!D109/1000)</f>
        <v>2.836260995277507E-5</v>
      </c>
      <c r="F49">
        <f t="shared" si="2"/>
        <v>4.8160336041147783E-4</v>
      </c>
      <c r="G49">
        <f t="shared" si="0"/>
        <v>125146.14730785106</v>
      </c>
      <c r="H49">
        <f>MAX(D49,DATA!$B$3)</f>
        <v>125166.14730785106</v>
      </c>
      <c r="I49">
        <f>G49*DATA!$B$7*F48*E49</f>
        <v>3.0166541226957509E-4</v>
      </c>
      <c r="J49">
        <f>H49*'LIFE TABLE MALE'!D109/1000*F48*E48</f>
        <v>3.691527832044354E-3</v>
      </c>
      <c r="K49">
        <f>0</f>
        <v>0</v>
      </c>
      <c r="L49" s="43">
        <f>DATA!$B$8*1.1*((1+DATA!$B$9+0.01)^A48)*F49*E49</f>
        <v>2.9262452855780668E-6</v>
      </c>
      <c r="M49">
        <f>B48*EXP(RATES!O50)*(DATA!$B$12)</f>
        <v>1433.3955519917506</v>
      </c>
      <c r="N49">
        <f>C48*EXP(RATES!O50)*(DATA!$B$12)</f>
        <v>358.34888799793765</v>
      </c>
      <c r="O49">
        <f t="shared" si="3"/>
        <v>1791.7444399896883</v>
      </c>
      <c r="P49">
        <f t="shared" si="4"/>
        <v>2.4474383818643507E-5</v>
      </c>
      <c r="Q49">
        <f>RATES!G50</f>
        <v>0.28082727798558355</v>
      </c>
      <c r="R49" s="46">
        <f t="shared" si="5"/>
        <v>4.0205938734181506E-3</v>
      </c>
      <c r="S49">
        <f t="shared" si="6"/>
        <v>1.129092433357533E-3</v>
      </c>
      <c r="T49">
        <f>C48*EXP(RATES!O50)*(DATA!$B$6-DATA!$B$12)</f>
        <v>204.77079314167861</v>
      </c>
      <c r="U49">
        <f>B48*EXP(RATES!O50)*(DATA!$B$6-DATA!$B$12)</f>
        <v>819.08317256671444</v>
      </c>
      <c r="V49">
        <f t="shared" si="7"/>
        <v>1023.853965708393</v>
      </c>
      <c r="W49">
        <f t="shared" si="8"/>
        <v>1.3985362182082001E-5</v>
      </c>
      <c r="X49">
        <f>W49*BASE!Q49</f>
        <v>3.9274711932366094E-6</v>
      </c>
    </row>
    <row r="50" spans="1:24" x14ac:dyDescent="0.3">
      <c r="A50" s="5">
        <v>48</v>
      </c>
      <c r="B50">
        <f>B49*EXP(RATES!O51)*(1-DATA!$B$6)</f>
        <v>101130.66967745037</v>
      </c>
      <c r="C50">
        <f>C49*EXP(RATES!O51)*(1-DATA!$B$6)</f>
        <v>25282.667419362591</v>
      </c>
      <c r="D50">
        <f t="shared" si="1"/>
        <v>126413.33709681296</v>
      </c>
      <c r="E50">
        <f>E49*(1-'LIFE TABLE MALE'!D110/1000)</f>
        <v>9.0786411414904827E-6</v>
      </c>
      <c r="F50">
        <f t="shared" si="2"/>
        <v>4.0936285634975616E-4</v>
      </c>
      <c r="G50">
        <f t="shared" si="0"/>
        <v>126393.33709681296</v>
      </c>
      <c r="H50">
        <f>MAX(D50,DATA!$B$3)</f>
        <v>126413.33709681296</v>
      </c>
      <c r="I50">
        <f>G50*DATA!$B$7*F49*E50</f>
        <v>8.2894515553433938E-5</v>
      </c>
      <c r="J50">
        <f>H50*'LIFE TABLE MALE'!D110/1000*F49*E49</f>
        <v>1.1740290011603509E-3</v>
      </c>
      <c r="K50">
        <f>0</f>
        <v>0</v>
      </c>
      <c r="L50" s="43">
        <f>DATA!$B$8*1.1*((1+DATA!$B$9+0.01)^A49)*F50*E50</f>
        <v>8.2005226912899365E-7</v>
      </c>
      <c r="M50">
        <f>B49*EXP(RATES!O51)*(DATA!$B$12)</f>
        <v>1447.678298041212</v>
      </c>
      <c r="N50">
        <f>C49*EXP(RATES!O51)*(DATA!$B$12)</f>
        <v>361.91957451030299</v>
      </c>
      <c r="O50">
        <f t="shared" si="3"/>
        <v>1809.5978725515149</v>
      </c>
      <c r="P50">
        <f t="shared" si="4"/>
        <v>6.7252953397517459E-6</v>
      </c>
      <c r="Q50">
        <f>RATES!G51</f>
        <v>0.27193939918145021</v>
      </c>
      <c r="R50" s="46">
        <f t="shared" si="5"/>
        <v>1.2644688643226657E-3</v>
      </c>
      <c r="S50">
        <f t="shared" si="6"/>
        <v>3.4385890324755639E-4</v>
      </c>
      <c r="T50">
        <f>C49*EXP(RATES!O51)*(DATA!$B$6-DATA!$B$12)</f>
        <v>206.81118543445879</v>
      </c>
      <c r="U50">
        <f>B49*EXP(RATES!O51)*(DATA!$B$6-DATA!$B$12)</f>
        <v>827.24474173783517</v>
      </c>
      <c r="V50">
        <f t="shared" si="7"/>
        <v>1034.0559271722939</v>
      </c>
      <c r="W50">
        <f t="shared" si="8"/>
        <v>3.8430259084295675E-6</v>
      </c>
      <c r="X50">
        <f>W50*BASE!Q50</f>
        <v>1.0450701565770835E-6</v>
      </c>
    </row>
    <row r="51" spans="1:24" x14ac:dyDescent="0.3">
      <c r="A51" s="5">
        <v>49</v>
      </c>
      <c r="B51">
        <f>B50*EXP(RATES!O52)*(1-DATA!$B$6)</f>
        <v>102111.47643077932</v>
      </c>
      <c r="C51">
        <f>C50*EXP(RATES!O52)*(1-DATA!$B$6)</f>
        <v>25527.869107694831</v>
      </c>
      <c r="D51">
        <f t="shared" si="1"/>
        <v>127639.34553847415</v>
      </c>
      <c r="E51">
        <f>E50*(1-'LIFE TABLE MALE'!D111/1000)</f>
        <v>2.622101305262309E-6</v>
      </c>
      <c r="F51">
        <f t="shared" si="2"/>
        <v>3.4795842789729273E-4</v>
      </c>
      <c r="G51">
        <f t="shared" si="0"/>
        <v>127619.34553847415</v>
      </c>
      <c r="H51">
        <f>MAX(D51,DATA!$B$3)</f>
        <v>127639.34553847415</v>
      </c>
      <c r="I51">
        <f>G51*DATA!$B$7*F50*E51</f>
        <v>2.054781624113085E-5</v>
      </c>
      <c r="J51">
        <f>H51*'LIFE TABLE MALE'!D111/1000*F50*E50</f>
        <v>3.3735941733701159E-4</v>
      </c>
      <c r="K51">
        <f>0</f>
        <v>0</v>
      </c>
      <c r="L51" s="43">
        <f>DATA!$B$8*1.1*((1+DATA!$B$9+0.01)^A50)*F51*E51</f>
        <v>2.0736062923197686E-7</v>
      </c>
      <c r="M51">
        <f>B50*EXP(RATES!O52)*(DATA!$B$12)</f>
        <v>1461.7184765142235</v>
      </c>
      <c r="N51">
        <f>C50*EXP(RATES!O52)*(DATA!$B$12)</f>
        <v>365.42961912855588</v>
      </c>
      <c r="O51">
        <f t="shared" si="3"/>
        <v>1827.1480956427795</v>
      </c>
      <c r="P51">
        <f t="shared" si="4"/>
        <v>1.6670574868702912E-6</v>
      </c>
      <c r="Q51">
        <f>RATES!G52</f>
        <v>0.26340215020802832</v>
      </c>
      <c r="R51" s="46">
        <f t="shared" si="5"/>
        <v>3.5978165169424467E-4</v>
      </c>
      <c r="S51">
        <f t="shared" si="6"/>
        <v>9.4767260661659963E-5</v>
      </c>
      <c r="T51">
        <f>C50*EXP(RATES!O52)*(DATA!$B$6-DATA!$B$12)</f>
        <v>208.8169252163176</v>
      </c>
      <c r="U51">
        <f>B50*EXP(RATES!O52)*(DATA!$B$6-DATA!$B$12)</f>
        <v>835.2677008652704</v>
      </c>
      <c r="V51">
        <f t="shared" si="7"/>
        <v>1044.0846260815879</v>
      </c>
      <c r="W51">
        <f t="shared" si="8"/>
        <v>9.526042782115945E-7</v>
      </c>
      <c r="X51">
        <f>W51*BASE!Q51</f>
        <v>2.5091801517830083E-7</v>
      </c>
    </row>
    <row r="52" spans="1:24" x14ac:dyDescent="0.3">
      <c r="A52" s="6">
        <v>50</v>
      </c>
      <c r="B52">
        <f>B51*EXP(RATES!O53)*(1-DATA!$B$6)</f>
        <v>103171.99920404634</v>
      </c>
      <c r="C52">
        <f>C51*EXP(RATES!O53)*(1-DATA!$B$6)</f>
        <v>25792.999801011585</v>
      </c>
      <c r="D52">
        <f t="shared" si="1"/>
        <v>128964.99900505792</v>
      </c>
      <c r="E52">
        <f>E51*(1-'LIFE TABLE MALE'!D112/1000)</f>
        <v>6.794887101443695E-7</v>
      </c>
      <c r="F52">
        <f t="shared" si="2"/>
        <v>2.957646637126988E-4</v>
      </c>
      <c r="G52">
        <f t="shared" si="0"/>
        <v>128944.99900505792</v>
      </c>
      <c r="H52">
        <f>MAX(D52,DATA!$B$3)</f>
        <v>128964.99900505792</v>
      </c>
      <c r="I52">
        <f>G52*DATA!$B$7*F51*E52</f>
        <v>4.5730438676062351E-6</v>
      </c>
      <c r="J52">
        <f>H52*'LIFE TABLE MALE'!D112/1000*F51*E51</f>
        <v>8.7173687907391763E-5</v>
      </c>
      <c r="K52">
        <f>E52*D52*F52</f>
        <v>2.5917934624765713E-5</v>
      </c>
      <c r="L52" s="43">
        <f>DATA!$B$8*1.1*((1+DATA!$B$9+0.01)^A51)*F52*E52</f>
        <v>4.7045190449276357E-8</v>
      </c>
      <c r="M52">
        <f>B51*EXP(RATES!O53)*(DATA!$B$12)</f>
        <v>1476.8997841070029</v>
      </c>
      <c r="N52">
        <f>C51*EXP(RATES!O53)*(DATA!$B$12)</f>
        <v>369.22494602675073</v>
      </c>
      <c r="O52">
        <f t="shared" si="3"/>
        <v>1846.1247301337537</v>
      </c>
      <c r="P52">
        <f t="shared" si="4"/>
        <v>3.7101337908662581E-7</v>
      </c>
      <c r="Q52">
        <f>RATES!G53</f>
        <v>0.25495931300893881</v>
      </c>
      <c r="R52" s="46">
        <f t="shared" si="5"/>
        <v>1.1808272496929961E-4</v>
      </c>
      <c r="S52">
        <f t="shared" si="6"/>
        <v>3.0106290436396093E-5</v>
      </c>
      <c r="T52">
        <f>C51*EXP(RATES!O53)*(DATA!$B$6-DATA!$B$12)</f>
        <v>210.98568344385751</v>
      </c>
      <c r="U52">
        <f>B51*EXP(RATES!O53)*(DATA!$B$6-DATA!$B$12)</f>
        <v>843.94273377543004</v>
      </c>
      <c r="V52">
        <f>T52+U52</f>
        <v>1054.9284172192874</v>
      </c>
      <c r="W52">
        <f t="shared" si="8"/>
        <v>2.1200764519235751E-7</v>
      </c>
      <c r="X52">
        <f>W52*BASE!Q52</f>
        <v>5.4053323570886324E-8</v>
      </c>
    </row>
    <row r="56" spans="1:24" x14ac:dyDescent="0.3">
      <c r="P56" s="52" t="s">
        <v>56</v>
      </c>
      <c r="Q56" s="47">
        <f>SUM(S3:S52)</f>
        <v>94531.722251612926</v>
      </c>
      <c r="T56" s="56" t="s">
        <v>59</v>
      </c>
    </row>
    <row r="57" spans="1:24" x14ac:dyDescent="0.3">
      <c r="P57" s="54" t="s">
        <v>57</v>
      </c>
      <c r="Q57" s="48">
        <f>DATA!B2-Q56</f>
        <v>5468.2777483870741</v>
      </c>
      <c r="T57" s="52" t="s">
        <v>60</v>
      </c>
      <c r="U57" s="47">
        <f>SUMPRODUCT(J3:J52,Q3:Q52)</f>
        <v>6428.6259520095382</v>
      </c>
    </row>
    <row r="58" spans="1:24" x14ac:dyDescent="0.3">
      <c r="T58" s="53" t="s">
        <v>61</v>
      </c>
      <c r="U58" s="50">
        <f>SUMPRODUCT(I3:I52,Q3:Q52)</f>
        <v>81227.100444462834</v>
      </c>
    </row>
    <row r="59" spans="1:24" x14ac:dyDescent="0.3">
      <c r="P59" s="55" t="s">
        <v>58</v>
      </c>
      <c r="Q59" s="49">
        <f>SUMPRODUCT(S3:S52,A3:A52)/SUM(S3:S52)</f>
        <v>5.613874086595751</v>
      </c>
      <c r="T59" s="53" t="s">
        <v>47</v>
      </c>
      <c r="U59" s="51">
        <f>SUMPRODUCT(L3:L52,Q3:Q52)</f>
        <v>285.72627176066453</v>
      </c>
    </row>
    <row r="60" spans="1:24" x14ac:dyDescent="0.3">
      <c r="T60" s="54" t="s">
        <v>48</v>
      </c>
      <c r="U60" s="48">
        <f>SUMPRODUCT(P3:P52,Q3:Q52)</f>
        <v>6590.2695767718506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2FE0-0B8A-402F-AF62-0CDB19A6C5A9}">
  <dimension ref="A1:X60"/>
  <sheetViews>
    <sheetView topLeftCell="K37" zoomScale="66" workbookViewId="0">
      <selection activeCell="P61" sqref="P61:Q63"/>
    </sheetView>
  </sheetViews>
  <sheetFormatPr defaultColWidth="11.19921875" defaultRowHeight="15.6" x14ac:dyDescent="0.3"/>
  <cols>
    <col min="5" max="5" width="15.796875" customWidth="1"/>
    <col min="6" max="6" width="18.69921875" customWidth="1"/>
    <col min="7" max="7" width="13.19921875" customWidth="1"/>
    <col min="14" max="15" width="11.296875" bestFit="1" customWidth="1"/>
    <col min="16" max="16" width="12.69921875" bestFit="1" customWidth="1"/>
    <col min="17" max="18" width="11.296875" bestFit="1" customWidth="1"/>
    <col min="19" max="19" width="12.69921875" bestFit="1" customWidth="1"/>
    <col min="20" max="22" width="11.296875" bestFit="1" customWidth="1"/>
  </cols>
  <sheetData>
    <row r="1" spans="1:24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  <c r="X1" s="9" t="s">
        <v>104</v>
      </c>
    </row>
    <row r="2" spans="1:24" x14ac:dyDescent="0.3">
      <c r="A2" s="41">
        <v>0</v>
      </c>
      <c r="B2">
        <f>DATA!B2*0.8</f>
        <v>80000</v>
      </c>
      <c r="C2">
        <f>DATA!B2*0.2</f>
        <v>20000</v>
      </c>
      <c r="D2">
        <f>B2+C2</f>
        <v>100000</v>
      </c>
      <c r="E2">
        <f>1</f>
        <v>1</v>
      </c>
      <c r="F2">
        <f>1</f>
        <v>1</v>
      </c>
      <c r="G2">
        <f>D2-20</f>
        <v>99980</v>
      </c>
      <c r="H2">
        <f>MAX(D2,DATA!$B$3)</f>
        <v>100000</v>
      </c>
      <c r="M2">
        <f>B2</f>
        <v>80000</v>
      </c>
      <c r="N2">
        <f>C2</f>
        <v>20000</v>
      </c>
      <c r="Q2">
        <f>RATES!G3</f>
        <v>1</v>
      </c>
    </row>
    <row r="3" spans="1:24" x14ac:dyDescent="0.3">
      <c r="A3" s="5">
        <v>1</v>
      </c>
      <c r="B3">
        <f>B2*EXP(RATES!O4)*(1-DATA!$B$6)</f>
        <v>80989.353600000002</v>
      </c>
      <c r="C3">
        <f>C2*EXP(RATES!O4)*(1-DATA!$B$6)</f>
        <v>20247.338400000001</v>
      </c>
      <c r="D3">
        <f>B3+C3</f>
        <v>101236.69200000001</v>
      </c>
      <c r="E3">
        <f>E2*(1-'LIFE TABLE MALE'!D63/1000*1.15)</f>
        <v>0.99256194949999998</v>
      </c>
      <c r="F3">
        <f>F2*(1-0.15)</f>
        <v>0.85</v>
      </c>
      <c r="G3">
        <f t="shared" ref="G3:G52" si="0">D3-20</f>
        <v>101216.69200000001</v>
      </c>
      <c r="H3">
        <f>MAX(D3,DATA!$B$3)</f>
        <v>101236.69200000001</v>
      </c>
      <c r="I3">
        <f>G3*DATA!$B$7*F2*E3</f>
        <v>15069.575570019158</v>
      </c>
      <c r="J3">
        <f>H3*'LIFE TABLE MALE'!D63/1000*1.15*F2*E2</f>
        <v>753.00362754894593</v>
      </c>
      <c r="K3">
        <f>0</f>
        <v>0</v>
      </c>
      <c r="L3" s="43">
        <f>DATA!$B$8*((1+DATA!$B$9)^A2)*F3*E3</f>
        <v>42.183882853749999</v>
      </c>
      <c r="M3">
        <f>B2*EXP(RATES!O4)*(DATA!$B$12)</f>
        <v>1159.3568</v>
      </c>
      <c r="N3">
        <f>C2*EXP(RATES!O4)*(DATA!$B$12)</f>
        <v>289.83920000000001</v>
      </c>
      <c r="O3">
        <f>M3+N3</f>
        <v>1449.1959999999999</v>
      </c>
      <c r="P3">
        <f>O3*E3*F3</f>
        <v>1222.6542859224614</v>
      </c>
      <c r="Q3">
        <f>RATES!G4</f>
        <v>0.96605290105686192</v>
      </c>
      <c r="R3" s="43">
        <f>P3+L3+K3+J3+I3</f>
        <v>17087.417366344314</v>
      </c>
      <c r="S3">
        <f>R3*Q3</f>
        <v>16507.349118326329</v>
      </c>
      <c r="T3">
        <f>C2*EXP(RATES!O4)*(DATA!$B$6-DATA!$B$12)</f>
        <v>165.62239999999997</v>
      </c>
      <c r="U3">
        <f>B2*EXP(RATES!O4)*(DATA!$B$6-DATA!$B$12)</f>
        <v>662.48959999999988</v>
      </c>
      <c r="V3">
        <f>T3+U3</f>
        <v>828.11199999999985</v>
      </c>
      <c r="W3">
        <f>V3*E3*F3</f>
        <v>698.65959195569224</v>
      </c>
      <c r="X3">
        <f>W3*BASE!Q3</f>
        <v>674.94212565999987</v>
      </c>
    </row>
    <row r="4" spans="1:24" x14ac:dyDescent="0.3">
      <c r="A4" s="5">
        <v>2</v>
      </c>
      <c r="B4">
        <f>B3*EXP(RATES!O5)*(1-DATA!$B$6)</f>
        <v>81233.889418663224</v>
      </c>
      <c r="C4">
        <f>C3*EXP(RATES!O5)*(1-DATA!$B$6)</f>
        <v>20308.472354665806</v>
      </c>
      <c r="D4">
        <f t="shared" ref="D4:D52" si="1">B4+C4</f>
        <v>101542.36177332903</v>
      </c>
      <c r="E4">
        <f>E3*(1-'LIFE TABLE MALE'!D64/1000*1.15)</f>
        <v>0.98445738440630959</v>
      </c>
      <c r="F4">
        <f t="shared" ref="F4:F52" si="2">F3*(1-0.15)</f>
        <v>0.72249999999999992</v>
      </c>
      <c r="G4">
        <f t="shared" si="0"/>
        <v>101522.36177332903</v>
      </c>
      <c r="H4">
        <f>MAX(D4,DATA!$B$3)</f>
        <v>101542.36177332903</v>
      </c>
      <c r="I4">
        <f>G4*DATA!$B$7*F3*E4</f>
        <v>12742.915938090631</v>
      </c>
      <c r="J4">
        <f>H4*'LIFE TABLE MALE'!D64/1000*1.15*F3*E3</f>
        <v>699.51317864515408</v>
      </c>
      <c r="K4">
        <f>0</f>
        <v>0</v>
      </c>
      <c r="L4" s="43">
        <f>DATA!$B$8*((1+DATA!$B$9)^A3)*F4*E4</f>
        <v>36.274793471911487</v>
      </c>
      <c r="M4">
        <f>B3*EXP(RATES!O5)*(DATA!$B$12)</f>
        <v>1162.8573127416005</v>
      </c>
      <c r="N4">
        <f>C3*EXP(RATES!O5)*(DATA!$B$12)</f>
        <v>290.71432818540012</v>
      </c>
      <c r="O4">
        <f t="shared" ref="O4:O52" si="3">M4+N4</f>
        <v>1453.5716409270005</v>
      </c>
      <c r="P4">
        <f t="shared" ref="P4:P52" si="4">O4*E4*F4</f>
        <v>1033.8825700245968</v>
      </c>
      <c r="Q4">
        <f>RATES!G5</f>
        <v>0.94195563634332236</v>
      </c>
      <c r="R4" s="43">
        <f t="shared" ref="R4:R52" si="5">P4+L4+K4+J4+I4</f>
        <v>14512.586480232294</v>
      </c>
      <c r="S4">
        <f t="shared" ref="S4:S52" si="6">R4*Q4</f>
        <v>13670.212632974708</v>
      </c>
      <c r="T4">
        <f>C3*EXP(RATES!O5)*(DATA!$B$6-DATA!$B$12)</f>
        <v>166.12247324880002</v>
      </c>
      <c r="U4">
        <f>B3*EXP(RATES!O5)*(DATA!$B$6-DATA!$B$12)</f>
        <v>664.48989299520008</v>
      </c>
      <c r="V4">
        <f t="shared" ref="V4:V51" si="7">T4+U4</f>
        <v>830.6123662440001</v>
      </c>
      <c r="W4">
        <f t="shared" ref="W4:W52" si="8">V4*E4*F4</f>
        <v>590.79004001405508</v>
      </c>
      <c r="X4">
        <f>W4*BASE!Q4</f>
        <v>556.49800808673615</v>
      </c>
    </row>
    <row r="5" spans="1:24" x14ac:dyDescent="0.3">
      <c r="A5" s="5">
        <v>3</v>
      </c>
      <c r="B5">
        <f>B4*EXP(RATES!O6)*(1-DATA!$B$6)</f>
        <v>81258.802918728528</v>
      </c>
      <c r="C5">
        <f>C4*EXP(RATES!O6)*(1-DATA!$B$6)</f>
        <v>20314.700729682132</v>
      </c>
      <c r="D5">
        <f t="shared" si="1"/>
        <v>101573.50364841067</v>
      </c>
      <c r="E5">
        <f>E4*(1-'LIFE TABLE MALE'!D65/1000*1.15)</f>
        <v>0.97560970656570478</v>
      </c>
      <c r="F5">
        <f t="shared" si="2"/>
        <v>0.61412499999999992</v>
      </c>
      <c r="G5">
        <f t="shared" si="0"/>
        <v>101553.50364841067</v>
      </c>
      <c r="H5">
        <f>MAX(D5,DATA!$B$3)</f>
        <v>101573.50364841067</v>
      </c>
      <c r="I5">
        <f>G5*DATA!$B$7*F4*E5</f>
        <v>10737.424779636354</v>
      </c>
      <c r="J5">
        <f>H5*'LIFE TABLE MALE'!D65/1000*1.15*F4*E4</f>
        <v>649.30326303785375</v>
      </c>
      <c r="K5">
        <f>0</f>
        <v>0</v>
      </c>
      <c r="L5" s="43">
        <f>DATA!$B$8*((1+DATA!$B$9)^A4)*F5*E5</f>
        <v>31.167591100543387</v>
      </c>
      <c r="M5">
        <f>B4*EXP(RATES!O6)*(DATA!$B$12)</f>
        <v>1163.2139477118603</v>
      </c>
      <c r="N5">
        <f>C4*EXP(RATES!O6)*(DATA!$B$12)</f>
        <v>290.80348692796508</v>
      </c>
      <c r="O5">
        <f t="shared" si="3"/>
        <v>1454.0174346398253</v>
      </c>
      <c r="P5">
        <f t="shared" si="4"/>
        <v>871.16918215907629</v>
      </c>
      <c r="Q5">
        <f>RATES!G6</f>
        <v>0.92095016751412107</v>
      </c>
      <c r="R5" s="43">
        <f t="shared" si="5"/>
        <v>12289.064815933827</v>
      </c>
      <c r="S5">
        <f t="shared" si="6"/>
        <v>11317.61630082615</v>
      </c>
      <c r="T5">
        <f>C4*EXP(RATES!O6)*(DATA!$B$6-DATA!$B$12)</f>
        <v>166.17342110169432</v>
      </c>
      <c r="U5">
        <f>B4*EXP(RATES!O6)*(DATA!$B$6-DATA!$B$12)</f>
        <v>664.69368440677727</v>
      </c>
      <c r="V5">
        <f t="shared" si="7"/>
        <v>830.86710550847158</v>
      </c>
      <c r="W5">
        <f t="shared" si="8"/>
        <v>497.81096123375784</v>
      </c>
      <c r="X5">
        <f>W5*BASE!Q5</f>
        <v>458.45908813859489</v>
      </c>
    </row>
    <row r="6" spans="1:24" x14ac:dyDescent="0.3">
      <c r="A6" s="5">
        <v>4</v>
      </c>
      <c r="B6">
        <f>B5*EXP(RATES!O7)*(1-DATA!$B$6)</f>
        <v>81219.666893987174</v>
      </c>
      <c r="C6">
        <f>C5*EXP(RATES!O7)*(1-DATA!$B$6)</f>
        <v>20304.916723496794</v>
      </c>
      <c r="D6">
        <f t="shared" si="1"/>
        <v>101524.58361748396</v>
      </c>
      <c r="E6">
        <f>E5*(1-'LIFE TABLE MALE'!D66/1000*1.15)</f>
        <v>0.96588814559585523</v>
      </c>
      <c r="F6">
        <f t="shared" si="2"/>
        <v>0.52200624999999989</v>
      </c>
      <c r="G6">
        <f t="shared" si="0"/>
        <v>101504.58361748396</v>
      </c>
      <c r="H6">
        <f>MAX(D6,DATA!$B$3)</f>
        <v>101524.58361748396</v>
      </c>
      <c r="I6">
        <f>G6*DATA!$B$7*F5*E6</f>
        <v>9031.5133079511561</v>
      </c>
      <c r="J6">
        <f>H6*'LIFE TABLE MALE'!D66/1000*1.15*F5*E5</f>
        <v>606.12751393833116</v>
      </c>
      <c r="K6">
        <f>0</f>
        <v>0</v>
      </c>
      <c r="L6" s="43">
        <f>DATA!$B$8*((1+DATA!$B$9)^A5)*F6*E6</f>
        <v>26.75303504529079</v>
      </c>
      <c r="M6">
        <f>B5*EXP(RATES!O7)*(DATA!$B$12)</f>
        <v>1162.6537183188348</v>
      </c>
      <c r="N6">
        <f>C5*EXP(RATES!O7)*(DATA!$B$12)</f>
        <v>290.66342957970869</v>
      </c>
      <c r="O6">
        <f t="shared" si="3"/>
        <v>1453.3171478985435</v>
      </c>
      <c r="P6">
        <f t="shared" si="4"/>
        <v>732.76199556829181</v>
      </c>
      <c r="Q6">
        <f>RATES!G7</f>
        <v>0.90112326459071324</v>
      </c>
      <c r="R6" s="43">
        <f t="shared" si="5"/>
        <v>10397.15585250307</v>
      </c>
      <c r="S6">
        <f t="shared" si="6"/>
        <v>9369.1190242660068</v>
      </c>
      <c r="T6">
        <f>C5*EXP(RATES!O7)*(DATA!$B$6-DATA!$B$12)</f>
        <v>166.09338833126208</v>
      </c>
      <c r="U6">
        <f>B5*EXP(RATES!O7)*(DATA!$B$6-DATA!$B$12)</f>
        <v>664.37355332504831</v>
      </c>
      <c r="V6">
        <f t="shared" si="7"/>
        <v>830.46694165631038</v>
      </c>
      <c r="W6">
        <f t="shared" si="8"/>
        <v>418.72114032473809</v>
      </c>
      <c r="X6">
        <f>W6*BASE!Q6</f>
        <v>377.31936092257411</v>
      </c>
    </row>
    <row r="7" spans="1:24" x14ac:dyDescent="0.3">
      <c r="A7" s="6">
        <v>5</v>
      </c>
      <c r="B7">
        <f>B6*EXP(RATES!O8)*(1-DATA!$B$6)</f>
        <v>81178.572400251767</v>
      </c>
      <c r="C7">
        <f>C6*EXP(RATES!O8)*(1-DATA!$B$6)</f>
        <v>20294.643100062942</v>
      </c>
      <c r="D7">
        <f t="shared" si="1"/>
        <v>101473.21550031471</v>
      </c>
      <c r="E7">
        <f>E6*(1-'LIFE TABLE MALE'!D67/1000*1.15)</f>
        <v>0.95516620281741316</v>
      </c>
      <c r="F7">
        <f t="shared" si="2"/>
        <v>0.44370531249999989</v>
      </c>
      <c r="G7">
        <f t="shared" si="0"/>
        <v>101453.21550031471</v>
      </c>
      <c r="H7">
        <f>MAX(D7,DATA!$B$3)</f>
        <v>101473.21550031471</v>
      </c>
      <c r="I7">
        <f>G7*DATA!$B$7*F6*E7</f>
        <v>7587.7274967419453</v>
      </c>
      <c r="J7">
        <f>H7*'LIFE TABLE MALE'!D67/1000*1.15*F6*E6</f>
        <v>567.93758523006693</v>
      </c>
      <c r="K7">
        <f>0</f>
        <v>0</v>
      </c>
      <c r="L7" s="43">
        <f>DATA!$B$8*((1+DATA!$B$9)^A6)*F7*E7</f>
        <v>22.937404167998515</v>
      </c>
      <c r="M7">
        <f>B6*EXP(RATES!O8)*(DATA!$B$12)</f>
        <v>1162.0654535823362</v>
      </c>
      <c r="N7">
        <f>C6*EXP(RATES!O8)*(DATA!$B$12)</f>
        <v>290.51636339558405</v>
      </c>
      <c r="O7">
        <f t="shared" si="3"/>
        <v>1452.5818169779202</v>
      </c>
      <c r="P7">
        <f t="shared" si="4"/>
        <v>615.62206767966313</v>
      </c>
      <c r="Q7">
        <f>RATES!G8</f>
        <v>0.88174468672828554</v>
      </c>
      <c r="R7" s="43">
        <f t="shared" si="5"/>
        <v>8794.224553819673</v>
      </c>
      <c r="S7">
        <f t="shared" si="6"/>
        <v>7754.2607742259243</v>
      </c>
      <c r="T7">
        <f>C6*EXP(RATES!O8)*(DATA!$B$6-DATA!$B$12)</f>
        <v>166.00935051176228</v>
      </c>
      <c r="U7">
        <f>B6*EXP(RATES!O8)*(DATA!$B$6-DATA!$B$12)</f>
        <v>664.03740204704911</v>
      </c>
      <c r="V7">
        <f t="shared" si="7"/>
        <v>830.04675255881136</v>
      </c>
      <c r="W7">
        <f t="shared" si="8"/>
        <v>351.78403867409315</v>
      </c>
      <c r="X7">
        <f>W7*BASE!Q7</f>
        <v>310.18370697669934</v>
      </c>
    </row>
    <row r="8" spans="1:24" x14ac:dyDescent="0.3">
      <c r="A8" s="5">
        <v>6</v>
      </c>
      <c r="B8">
        <f>B7*EXP(RATES!O9)*(1-DATA!$B$6)</f>
        <v>81192.731414463822</v>
      </c>
      <c r="C8">
        <f>C7*EXP(RATES!O9)*(1-DATA!$B$6)</f>
        <v>20298.182853615956</v>
      </c>
      <c r="D8">
        <f t="shared" si="1"/>
        <v>101490.91426807978</v>
      </c>
      <c r="E8">
        <f>E7*(1-'LIFE TABLE MALE'!D68/1000*1.15)</f>
        <v>0.94330823420498111</v>
      </c>
      <c r="F8">
        <f t="shared" si="2"/>
        <v>0.37714951562499988</v>
      </c>
      <c r="G8">
        <f t="shared" si="0"/>
        <v>101470.91426807978</v>
      </c>
      <c r="H8">
        <f>MAX(D8,DATA!$B$3)</f>
        <v>101490.91426807978</v>
      </c>
      <c r="I8">
        <f>G8*DATA!$B$7*F7*E8</f>
        <v>6370.6109906844622</v>
      </c>
      <c r="J8">
        <f>H8*'LIFE TABLE MALE'!D68/1000*1.15*F7*E7</f>
        <v>533.98872831593872</v>
      </c>
      <c r="K8">
        <f>0</f>
        <v>0</v>
      </c>
      <c r="L8" s="43">
        <f>DATA!$B$8*((1+DATA!$B$9)^A7)*F8*E8</f>
        <v>19.63984440820176</v>
      </c>
      <c r="M8">
        <f>B7*EXP(RATES!O9)*(DATA!$B$12)</f>
        <v>1162.2681388573553</v>
      </c>
      <c r="N8">
        <f>C7*EXP(RATES!O9)*(DATA!$B$12)</f>
        <v>290.56703471433883</v>
      </c>
      <c r="O8">
        <f t="shared" si="3"/>
        <v>1452.8351735716942</v>
      </c>
      <c r="P8">
        <f t="shared" si="4"/>
        <v>516.87261796439645</v>
      </c>
      <c r="Q8">
        <f>RATES!G9</f>
        <v>0.86219592102620646</v>
      </c>
      <c r="R8" s="43">
        <f t="shared" si="5"/>
        <v>7441.1121813729987</v>
      </c>
      <c r="S8">
        <f t="shared" si="6"/>
        <v>6415.6965706782166</v>
      </c>
      <c r="T8">
        <f>C7*EXP(RATES!O9)*(DATA!$B$6-DATA!$B$12)</f>
        <v>166.03830555105071</v>
      </c>
      <c r="U8">
        <f>B7*EXP(RATES!O9)*(DATA!$B$6-DATA!$B$12)</f>
        <v>664.15322220420285</v>
      </c>
      <c r="V8">
        <f t="shared" si="7"/>
        <v>830.19152775525356</v>
      </c>
      <c r="W8">
        <f t="shared" si="8"/>
        <v>295.35578169394068</v>
      </c>
      <c r="X8">
        <f>W8*BASE!Q8</f>
        <v>254.65455022802234</v>
      </c>
    </row>
    <row r="9" spans="1:24" x14ac:dyDescent="0.3">
      <c r="A9" s="5">
        <v>7</v>
      </c>
      <c r="B9">
        <f>B8*EXP(RATES!O10)*(1-DATA!$B$6)</f>
        <v>81254.382012178379</v>
      </c>
      <c r="C9">
        <f>C8*EXP(RATES!O10)*(1-DATA!$B$6)</f>
        <v>20313.595503044595</v>
      </c>
      <c r="D9">
        <f t="shared" si="1"/>
        <v>101567.97751522297</v>
      </c>
      <c r="E9">
        <f>E8*(1-'LIFE TABLE MALE'!D69/1000*1.15)</f>
        <v>0.93058536533944969</v>
      </c>
      <c r="F9">
        <f t="shared" si="2"/>
        <v>0.32057708828124987</v>
      </c>
      <c r="G9">
        <f t="shared" si="0"/>
        <v>101547.97751522297</v>
      </c>
      <c r="H9">
        <f>MAX(D9,DATA!$B$3)</f>
        <v>101567.97751522297</v>
      </c>
      <c r="I9">
        <f>G9*DATA!$B$7*F8*E9</f>
        <v>5346.0413052147742</v>
      </c>
      <c r="J9">
        <f>H9*'LIFE TABLE MALE'!D69/1000*1.15*F8*E8</f>
        <v>487.36620367350088</v>
      </c>
      <c r="K9">
        <f>0</f>
        <v>0</v>
      </c>
      <c r="L9" s="43">
        <f>DATA!$B$8*((1+DATA!$B$9)^A8)*F9*E9</f>
        <v>16.79808340687665</v>
      </c>
      <c r="M9">
        <f>B8*EXP(RATES!O10)*(DATA!$B$12)</f>
        <v>1163.1506627510198</v>
      </c>
      <c r="N9">
        <f>C8*EXP(RATES!O10)*(DATA!$B$12)</f>
        <v>290.78766568775495</v>
      </c>
      <c r="O9">
        <f t="shared" si="3"/>
        <v>1453.9383284387748</v>
      </c>
      <c r="P9">
        <f t="shared" si="4"/>
        <v>433.74520214466361</v>
      </c>
      <c r="Q9">
        <f>RATES!G10</f>
        <v>0.84258782390013232</v>
      </c>
      <c r="R9" s="43">
        <f t="shared" si="5"/>
        <v>6283.9507944398156</v>
      </c>
      <c r="S9">
        <f t="shared" si="6"/>
        <v>5294.7804253825516</v>
      </c>
      <c r="T9">
        <f>C8*EXP(RATES!O10)*(DATA!$B$6-DATA!$B$12)</f>
        <v>166.1643803930028</v>
      </c>
      <c r="U9">
        <f>B8*EXP(RATES!O10)*(DATA!$B$6-DATA!$B$12)</f>
        <v>664.65752157201121</v>
      </c>
      <c r="V9">
        <f t="shared" si="7"/>
        <v>830.82190196501404</v>
      </c>
      <c r="W9">
        <f t="shared" si="8"/>
        <v>247.85440122552203</v>
      </c>
      <c r="X9">
        <f>W9*BASE!Q9</f>
        <v>208.8391005726829</v>
      </c>
    </row>
    <row r="10" spans="1:24" x14ac:dyDescent="0.3">
      <c r="A10" s="5">
        <v>8</v>
      </c>
      <c r="B10">
        <f>B9*EXP(RATES!O11)*(1-DATA!$B$6)</f>
        <v>81365.273383019157</v>
      </c>
      <c r="C10">
        <f>C9*EXP(RATES!O11)*(1-DATA!$B$6)</f>
        <v>20341.318345754789</v>
      </c>
      <c r="D10">
        <f t="shared" si="1"/>
        <v>101706.59172877394</v>
      </c>
      <c r="E10">
        <f>E9*(1-'LIFE TABLE MALE'!D70/1000*1.15)</f>
        <v>0.9168893533183835</v>
      </c>
      <c r="F10">
        <f t="shared" si="2"/>
        <v>0.2724905250390624</v>
      </c>
      <c r="G10">
        <f t="shared" si="0"/>
        <v>101686.59172877394</v>
      </c>
      <c r="H10">
        <f>MAX(D10,DATA!$B$3)</f>
        <v>101706.59172877394</v>
      </c>
      <c r="I10">
        <f>G10*DATA!$B$7*F9*E10</f>
        <v>4483.3677143754658</v>
      </c>
      <c r="J10">
        <f>H10*'LIFE TABLE MALE'!D70/1000*1.15*F9*E9</f>
        <v>446.55577431761117</v>
      </c>
      <c r="K10">
        <f>0</f>
        <v>0</v>
      </c>
      <c r="L10" s="43">
        <f>DATA!$B$8*((1+DATA!$B$9)^A9)*F10*E10</f>
        <v>14.349591643753341</v>
      </c>
      <c r="M10">
        <f>B9*EXP(RATES!O11)*(DATA!$B$12)</f>
        <v>1164.7380647875952</v>
      </c>
      <c r="N10">
        <f>C9*EXP(RATES!O11)*(DATA!$B$12)</f>
        <v>291.18451619689881</v>
      </c>
      <c r="O10">
        <f t="shared" si="3"/>
        <v>1455.9225809844941</v>
      </c>
      <c r="P10">
        <f t="shared" si="4"/>
        <v>363.7530281856998</v>
      </c>
      <c r="Q10">
        <f>RATES!G11</f>
        <v>0.82292780659029441</v>
      </c>
      <c r="R10" s="43">
        <f t="shared" si="5"/>
        <v>5308.0261085225302</v>
      </c>
      <c r="S10">
        <f t="shared" si="6"/>
        <v>4368.1222828104619</v>
      </c>
      <c r="T10">
        <f>C9*EXP(RATES!O11)*(DATA!$B$6-DATA!$B$12)</f>
        <v>166.39115211251357</v>
      </c>
      <c r="U10">
        <f>B9*EXP(RATES!O11)*(DATA!$B$6-DATA!$B$12)</f>
        <v>665.56460845005427</v>
      </c>
      <c r="V10">
        <f t="shared" si="7"/>
        <v>831.95576056256778</v>
      </c>
      <c r="W10">
        <f t="shared" si="8"/>
        <v>207.85887324897124</v>
      </c>
      <c r="X10">
        <f>W10*BASE!Q10</f>
        <v>171.05284664310591</v>
      </c>
    </row>
    <row r="11" spans="1:24" x14ac:dyDescent="0.3">
      <c r="A11" s="5">
        <v>9</v>
      </c>
      <c r="B11">
        <f>B10*EXP(RATES!O12)*(1-DATA!$B$6)</f>
        <v>81523.24029763104</v>
      </c>
      <c r="C11">
        <f>C10*EXP(RATES!O12)*(1-DATA!$B$6)</f>
        <v>20380.81007440776</v>
      </c>
      <c r="D11">
        <f t="shared" si="1"/>
        <v>101904.05037203879</v>
      </c>
      <c r="E11">
        <f>E10*(1-'LIFE TABLE MALE'!D71/1000*1.15)</f>
        <v>0.90215380584309302</v>
      </c>
      <c r="F11">
        <f t="shared" si="2"/>
        <v>0.23161694628320303</v>
      </c>
      <c r="G11">
        <f t="shared" si="0"/>
        <v>101884.05037203879</v>
      </c>
      <c r="H11">
        <f>MAX(D11,DATA!$B$3)</f>
        <v>101904.05037203879</v>
      </c>
      <c r="I11">
        <f>G11*DATA!$B$7*F10*E11</f>
        <v>3756.8984164625977</v>
      </c>
      <c r="J11">
        <f>H11*'LIFE TABLE MALE'!D71/1000*1.15*F10*E10</f>
        <v>409.17503470469876</v>
      </c>
      <c r="K11">
        <f>0</f>
        <v>0</v>
      </c>
      <c r="L11" s="43">
        <f>DATA!$B$8*((1+DATA!$B$9)^A10)*F11*E11</f>
        <v>12.241152134837803</v>
      </c>
      <c r="M11">
        <f>B10*EXP(RATES!O12)*(DATA!$B$12)</f>
        <v>1166.9993498638389</v>
      </c>
      <c r="N11">
        <f>C10*EXP(RATES!O12)*(DATA!$B$12)</f>
        <v>291.74983746595973</v>
      </c>
      <c r="O11">
        <f t="shared" si="3"/>
        <v>1458.7491873297986</v>
      </c>
      <c r="P11">
        <f t="shared" si="4"/>
        <v>304.81163754947215</v>
      </c>
      <c r="Q11">
        <f>RATES!G12</f>
        <v>0.80326389514893892</v>
      </c>
      <c r="R11" s="43">
        <f t="shared" si="5"/>
        <v>4483.1262408516068</v>
      </c>
      <c r="S11">
        <f t="shared" si="6"/>
        <v>3601.1334466708818</v>
      </c>
      <c r="T11">
        <f>C10*EXP(RATES!O12)*(DATA!$B$6-DATA!$B$12)</f>
        <v>166.71419283769126</v>
      </c>
      <c r="U11">
        <f>B10*EXP(RATES!O12)*(DATA!$B$6-DATA!$B$12)</f>
        <v>666.85677135076503</v>
      </c>
      <c r="V11">
        <f t="shared" si="7"/>
        <v>833.57096418845629</v>
      </c>
      <c r="W11">
        <f t="shared" si="8"/>
        <v>174.17807859969835</v>
      </c>
      <c r="X11">
        <f>W11*BASE!Q11</f>
        <v>139.91096186555174</v>
      </c>
    </row>
    <row r="12" spans="1:24" x14ac:dyDescent="0.3">
      <c r="A12" s="6">
        <v>10</v>
      </c>
      <c r="B12">
        <f>B11*EXP(RATES!O13)*(1-DATA!$B$6)</f>
        <v>81742.119978905175</v>
      </c>
      <c r="C12">
        <f>C11*EXP(RATES!O13)*(1-DATA!$B$6)</f>
        <v>20435.529994726294</v>
      </c>
      <c r="D12">
        <f t="shared" si="1"/>
        <v>102177.64997363147</v>
      </c>
      <c r="E12">
        <f>E11*(1-'LIFE TABLE MALE'!D72/1000*1.15)</f>
        <v>0.88590686607982083</v>
      </c>
      <c r="F12">
        <f t="shared" si="2"/>
        <v>0.19687440434072256</v>
      </c>
      <c r="G12">
        <f t="shared" si="0"/>
        <v>102157.64997363147</v>
      </c>
      <c r="H12">
        <f>MAX(D12,DATA!$B$3)</f>
        <v>102177.64997363147</v>
      </c>
      <c r="I12">
        <f>G12*DATA!$B$7*F11*E12</f>
        <v>3144.2752124728336</v>
      </c>
      <c r="J12">
        <f>H12*'LIFE TABLE MALE'!D72/1000*1.15*F11*E11</f>
        <v>384.50129926817385</v>
      </c>
      <c r="K12">
        <f>0</f>
        <v>0</v>
      </c>
      <c r="L12" s="43">
        <f>DATA!$B$8*((1+DATA!$B$9)^A11)*F12*E12</f>
        <v>10.421947352725949</v>
      </c>
      <c r="M12">
        <f>B11*EXP(RATES!O13)*(DATA!$B$12)</f>
        <v>1170.1325968350434</v>
      </c>
      <c r="N12">
        <f>C11*EXP(RATES!O13)*(DATA!$B$12)</f>
        <v>292.53314920876085</v>
      </c>
      <c r="O12">
        <f t="shared" si="3"/>
        <v>1462.6657460438041</v>
      </c>
      <c r="P12">
        <f t="shared" si="4"/>
        <v>255.10702350826361</v>
      </c>
      <c r="Q12">
        <f>RATES!G13</f>
        <v>0.78348852098697186</v>
      </c>
      <c r="R12" s="43">
        <f t="shared" si="5"/>
        <v>3794.305482601997</v>
      </c>
      <c r="S12">
        <f t="shared" si="6"/>
        <v>2972.794790736597</v>
      </c>
      <c r="T12">
        <f>C11*EXP(RATES!O13)*(DATA!$B$6-DATA!$B$12)</f>
        <v>167.1617995478633</v>
      </c>
      <c r="U12">
        <f>B11*EXP(RATES!O13)*(DATA!$B$6-DATA!$B$12)</f>
        <v>668.64719819145319</v>
      </c>
      <c r="V12">
        <f t="shared" si="7"/>
        <v>835.80899773931651</v>
      </c>
      <c r="W12">
        <f t="shared" si="8"/>
        <v>145.77544200472204</v>
      </c>
      <c r="X12">
        <f>W12*BASE!Q12</f>
        <v>114.21338545250177</v>
      </c>
    </row>
    <row r="13" spans="1:24" x14ac:dyDescent="0.3">
      <c r="A13" s="5">
        <v>11</v>
      </c>
      <c r="B13">
        <f>B12*EXP(RATES!O14)*(1-DATA!$B$6)</f>
        <v>82068.023997806304</v>
      </c>
      <c r="C13">
        <f>C12*EXP(RATES!O14)*(1-DATA!$B$6)</f>
        <v>20517.005999451576</v>
      </c>
      <c r="D13">
        <f t="shared" si="1"/>
        <v>102585.02999725788</v>
      </c>
      <c r="E13">
        <f>E12*(1-'LIFE TABLE MALE'!D73/1000*1.15)</f>
        <v>0.86810490690827646</v>
      </c>
      <c r="F13">
        <f t="shared" si="2"/>
        <v>0.16734324368961417</v>
      </c>
      <c r="G13">
        <f t="shared" si="0"/>
        <v>102565.02999725788</v>
      </c>
      <c r="H13">
        <f>MAX(D13,DATA!$B$3)</f>
        <v>102585.02999725788</v>
      </c>
      <c r="I13">
        <f>G13*DATA!$B$7*F12*E13</f>
        <v>2629.3720289316711</v>
      </c>
      <c r="J13">
        <f>H13*'LIFE TABLE MALE'!D73/1000*1.15*F12*E12</f>
        <v>359.53489496162598</v>
      </c>
      <c r="K13">
        <f>0</f>
        <v>0</v>
      </c>
      <c r="L13" s="43">
        <f>DATA!$B$8*((1+DATA!$B$9)^A12)*F13*E13</f>
        <v>8.8542568447456826</v>
      </c>
      <c r="M13">
        <f>B12*EXP(RATES!O14)*(DATA!$B$12)</f>
        <v>1174.7978895391495</v>
      </c>
      <c r="N13">
        <f>C12*EXP(RATES!O14)*(DATA!$B$12)</f>
        <v>293.69947238478738</v>
      </c>
      <c r="O13">
        <f t="shared" si="3"/>
        <v>1468.497361923937</v>
      </c>
      <c r="P13">
        <f t="shared" si="4"/>
        <v>213.33080127408488</v>
      </c>
      <c r="Q13">
        <f>RATES!G14</f>
        <v>0.76320887666583526</v>
      </c>
      <c r="R13" s="43">
        <f t="shared" si="5"/>
        <v>3211.0919820121276</v>
      </c>
      <c r="S13">
        <f t="shared" si="6"/>
        <v>2450.7339044621463</v>
      </c>
      <c r="T13">
        <f>C12*EXP(RATES!O14)*(DATA!$B$6-DATA!$B$12)</f>
        <v>167.82826993416418</v>
      </c>
      <c r="U13">
        <f>B12*EXP(RATES!O14)*(DATA!$B$6-DATA!$B$12)</f>
        <v>671.31307973665673</v>
      </c>
      <c r="V13">
        <f t="shared" si="7"/>
        <v>839.14134967082089</v>
      </c>
      <c r="W13">
        <f t="shared" si="8"/>
        <v>121.90331501376276</v>
      </c>
      <c r="X13">
        <f>W13*BASE!Q13</f>
        <v>93.037692113495325</v>
      </c>
    </row>
    <row r="14" spans="1:24" x14ac:dyDescent="0.3">
      <c r="A14" s="5">
        <v>12</v>
      </c>
      <c r="B14">
        <f>B13*EXP(RATES!O15)*(1-DATA!$B$6)</f>
        <v>82258.656528029838</v>
      </c>
      <c r="C14">
        <f>C13*EXP(RATES!O15)*(1-DATA!$B$6)</f>
        <v>20564.66413200746</v>
      </c>
      <c r="D14">
        <f t="shared" si="1"/>
        <v>102823.32066003729</v>
      </c>
      <c r="E14">
        <f>E13*(1-'LIFE TABLE MALE'!D74/1000*1.15)</f>
        <v>0.84840057318457185</v>
      </c>
      <c r="F14">
        <f t="shared" si="2"/>
        <v>0.14224175713617204</v>
      </c>
      <c r="G14">
        <f t="shared" si="0"/>
        <v>102803.32066003729</v>
      </c>
      <c r="H14">
        <f>MAX(D14,DATA!$B$3)</f>
        <v>102823.32066003729</v>
      </c>
      <c r="I14">
        <f>G14*DATA!$B$7*F13*E14</f>
        <v>2189.3113987556976</v>
      </c>
      <c r="J14">
        <f>H14*'LIFE TABLE MALE'!D74/1000*1.15*F13*E13</f>
        <v>339.0482931869646</v>
      </c>
      <c r="K14">
        <f>0</f>
        <v>0</v>
      </c>
      <c r="L14" s="43">
        <f>DATA!$B$8*((1+DATA!$B$9)^A13)*F14*E14</f>
        <v>7.502395511122768</v>
      </c>
      <c r="M14">
        <f>B13*EXP(RATES!O15)*(DATA!$B$12)</f>
        <v>1177.5267805648443</v>
      </c>
      <c r="N14">
        <f>C13*EXP(RATES!O15)*(DATA!$B$12)</f>
        <v>294.38169514121108</v>
      </c>
      <c r="O14">
        <f t="shared" si="3"/>
        <v>1471.9084757060555</v>
      </c>
      <c r="P14">
        <f t="shared" si="4"/>
        <v>177.62695378800802</v>
      </c>
      <c r="Q14">
        <f>RATES!G15</f>
        <v>0.74468847430975171</v>
      </c>
      <c r="R14" s="44">
        <f t="shared" si="5"/>
        <v>2713.4890412417931</v>
      </c>
      <c r="S14">
        <f t="shared" si="6"/>
        <v>2020.7040141785819</v>
      </c>
      <c r="T14">
        <f>C13*EXP(RATES!O15)*(DATA!$B$6-DATA!$B$12)</f>
        <v>168.21811150926345</v>
      </c>
      <c r="U14">
        <f>B13*EXP(RATES!O15)*(DATA!$B$6-DATA!$B$12)</f>
        <v>672.87244603705381</v>
      </c>
      <c r="V14">
        <f t="shared" si="7"/>
        <v>841.09055754631731</v>
      </c>
      <c r="W14">
        <f t="shared" si="8"/>
        <v>101.5011164502903</v>
      </c>
      <c r="X14">
        <f>W14*BASE!Q14</f>
        <v>75.586711550103118</v>
      </c>
    </row>
    <row r="15" spans="1:24" x14ac:dyDescent="0.3">
      <c r="A15" s="5">
        <v>13</v>
      </c>
      <c r="B15">
        <f>B14*EXP(RATES!O16)*(1-DATA!$B$6)</f>
        <v>82502.039008492662</v>
      </c>
      <c r="C15">
        <f>C14*EXP(RATES!O16)*(1-DATA!$B$6)</f>
        <v>20625.509752123166</v>
      </c>
      <c r="D15">
        <f t="shared" si="1"/>
        <v>103127.54876061583</v>
      </c>
      <c r="E15">
        <f>E14*(1-'LIFE TABLE MALE'!D75/1000*1.15)</f>
        <v>0.82720749674820093</v>
      </c>
      <c r="F15">
        <f t="shared" si="2"/>
        <v>0.12090549356574623</v>
      </c>
      <c r="G15">
        <f t="shared" si="0"/>
        <v>103107.54876061583</v>
      </c>
      <c r="H15">
        <f>MAX(D15,DATA!$B$3)</f>
        <v>103127.54876061583</v>
      </c>
      <c r="I15">
        <f>G15*DATA!$B$7*F14*E15</f>
        <v>1819.7984530372989</v>
      </c>
      <c r="J15">
        <f>H15*'LIFE TABLE MALE'!D75/1000*1.15*F14*E14</f>
        <v>310.88216533320781</v>
      </c>
      <c r="K15">
        <f>0</f>
        <v>0</v>
      </c>
      <c r="L15" s="43">
        <f>DATA!$B$8*((1+DATA!$B$9)^A14)*F15*E15</f>
        <v>6.3420923460655372</v>
      </c>
      <c r="M15">
        <f>B14*EXP(RATES!O16)*(DATA!$B$12)</f>
        <v>1181.0107833526558</v>
      </c>
      <c r="N15">
        <f>C14*EXP(RATES!O16)*(DATA!$B$12)</f>
        <v>295.25269583816396</v>
      </c>
      <c r="O15">
        <f t="shared" si="3"/>
        <v>1476.2634791908199</v>
      </c>
      <c r="P15">
        <f t="shared" si="4"/>
        <v>147.64691326675006</v>
      </c>
      <c r="Q15">
        <f>RATES!G16</f>
        <v>0.72615681422166556</v>
      </c>
      <c r="R15" s="44">
        <f t="shared" si="5"/>
        <v>2284.6696239833223</v>
      </c>
      <c r="S15">
        <f t="shared" si="6"/>
        <v>1659.0284157007397</v>
      </c>
      <c r="T15">
        <f>C14*EXP(RATES!O16)*(DATA!$B$6-DATA!$B$12)</f>
        <v>168.7158261932365</v>
      </c>
      <c r="U15">
        <f>B14*EXP(RATES!O16)*(DATA!$B$6-DATA!$B$12)</f>
        <v>674.86330477294598</v>
      </c>
      <c r="V15">
        <f t="shared" si="7"/>
        <v>843.57913096618245</v>
      </c>
      <c r="W15">
        <f t="shared" si="8"/>
        <v>84.369664723857156</v>
      </c>
      <c r="X15">
        <f>W15*BASE!Q15</f>
        <v>61.265606952826154</v>
      </c>
    </row>
    <row r="16" spans="1:24" x14ac:dyDescent="0.3">
      <c r="A16" s="5">
        <v>14</v>
      </c>
      <c r="B16">
        <f>B15*EXP(RATES!O17)*(1-DATA!$B$6)</f>
        <v>82776.822411940768</v>
      </c>
      <c r="C16">
        <f>C15*EXP(RATES!O17)*(1-DATA!$B$6)</f>
        <v>20694.205602985192</v>
      </c>
      <c r="D16">
        <f t="shared" si="1"/>
        <v>103471.02801492596</v>
      </c>
      <c r="E16">
        <f>E15*(1-'LIFE TABLE MALE'!D76/1000*1.15)</f>
        <v>0.80445169310037157</v>
      </c>
      <c r="F16">
        <f t="shared" si="2"/>
        <v>0.10276966953088429</v>
      </c>
      <c r="G16">
        <f t="shared" si="0"/>
        <v>103451.02801492596</v>
      </c>
      <c r="H16">
        <f>MAX(D16,DATA!$B$3)</f>
        <v>103471.02801492596</v>
      </c>
      <c r="I16">
        <f>G16*DATA!$B$7*F15*E16</f>
        <v>1509.2878436862848</v>
      </c>
      <c r="J16">
        <f>H16*'LIFE TABLE MALE'!D76/1000*1.15*F15*E15</f>
        <v>284.68001233198174</v>
      </c>
      <c r="K16">
        <f>0</f>
        <v>0</v>
      </c>
      <c r="L16" s="43">
        <f>DATA!$B$8*((1+DATA!$B$9)^A15)*F16*E16</f>
        <v>5.3473322254405709</v>
      </c>
      <c r="M16">
        <f>B15*EXP(RATES!O17)*(DATA!$B$12)</f>
        <v>1184.9442881054915</v>
      </c>
      <c r="N16">
        <f>C15*EXP(RATES!O17)*(DATA!$B$12)</f>
        <v>296.23607202637288</v>
      </c>
      <c r="O16">
        <f t="shared" si="3"/>
        <v>1481.1803601318643</v>
      </c>
      <c r="P16">
        <f t="shared" si="4"/>
        <v>122.45397147731582</v>
      </c>
      <c r="Q16">
        <f>RATES!G17</f>
        <v>0.70782386801134656</v>
      </c>
      <c r="R16" s="44">
        <f t="shared" si="5"/>
        <v>1921.7691597210228</v>
      </c>
      <c r="S16">
        <f t="shared" si="6"/>
        <v>1360.2740800586496</v>
      </c>
      <c r="T16">
        <f>C15*EXP(RATES!O17)*(DATA!$B$6-DATA!$B$12)</f>
        <v>169.27775544364161</v>
      </c>
      <c r="U16">
        <f>B15*EXP(RATES!O17)*(DATA!$B$6-DATA!$B$12)</f>
        <v>677.11102177456644</v>
      </c>
      <c r="V16">
        <f t="shared" si="7"/>
        <v>846.38877721820802</v>
      </c>
      <c r="W16">
        <f t="shared" si="8"/>
        <v>69.97369798703761</v>
      </c>
      <c r="X16">
        <f>W16*BASE!Q16</f>
        <v>49.529053568242738</v>
      </c>
    </row>
    <row r="17" spans="1:24" x14ac:dyDescent="0.3">
      <c r="A17" s="6">
        <v>15</v>
      </c>
      <c r="B17">
        <f>B16*EXP(RATES!O18)*(1-DATA!$B$6)</f>
        <v>82966.673538954565</v>
      </c>
      <c r="C17">
        <f>C16*EXP(RATES!O18)*(1-DATA!$B$6)</f>
        <v>20741.668384738641</v>
      </c>
      <c r="D17">
        <f t="shared" si="1"/>
        <v>103708.34192369321</v>
      </c>
      <c r="E17">
        <f>E16*(1-'LIFE TABLE MALE'!D77/1000*1.15)</f>
        <v>0.78041811674819805</v>
      </c>
      <c r="F17">
        <f t="shared" si="2"/>
        <v>8.7354219101251643E-2</v>
      </c>
      <c r="G17">
        <f t="shared" si="0"/>
        <v>103688.34192369321</v>
      </c>
      <c r="H17">
        <f>MAX(D17,DATA!$B$3)</f>
        <v>103708.34192369321</v>
      </c>
      <c r="I17">
        <f>G17*DATA!$B$7*F16*E17</f>
        <v>1247.4222649968287</v>
      </c>
      <c r="J17">
        <f>H17*'LIFE TABLE MALE'!D77/1000*1.15*F16*E16</f>
        <v>256.15158783012652</v>
      </c>
      <c r="K17">
        <f>0</f>
        <v>0</v>
      </c>
      <c r="L17" s="43">
        <f>DATA!$B$8*((1+DATA!$B$9)^A16)*F17*E17</f>
        <v>4.4976290911580508</v>
      </c>
      <c r="M17">
        <f>B16*EXP(RATES!O18)*(DATA!$B$12)</f>
        <v>1187.6619934001676</v>
      </c>
      <c r="N17">
        <f>C16*EXP(RATES!O18)*(DATA!$B$12)</f>
        <v>296.9154983500419</v>
      </c>
      <c r="O17">
        <f t="shared" si="3"/>
        <v>1484.5774917502094</v>
      </c>
      <c r="P17">
        <f t="shared" si="4"/>
        <v>101.20782693728032</v>
      </c>
      <c r="Q17">
        <f>RATES!G18</f>
        <v>0.6906676758678868</v>
      </c>
      <c r="R17" s="44">
        <f t="shared" si="5"/>
        <v>1609.2793088553935</v>
      </c>
      <c r="S17">
        <f t="shared" si="6"/>
        <v>1111.4772000694338</v>
      </c>
      <c r="T17">
        <f>C16*EXP(RATES!O18)*(DATA!$B$6-DATA!$B$12)</f>
        <v>169.66599905716677</v>
      </c>
      <c r="U17">
        <f>B16*EXP(RATES!O18)*(DATA!$B$6-DATA!$B$12)</f>
        <v>678.66399622866709</v>
      </c>
      <c r="V17">
        <f t="shared" si="7"/>
        <v>848.32999528583389</v>
      </c>
      <c r="W17">
        <f t="shared" si="8"/>
        <v>57.833043964160176</v>
      </c>
      <c r="X17">
        <f>W17*BASE!Q17</f>
        <v>39.943414063091829</v>
      </c>
    </row>
    <row r="18" spans="1:24" x14ac:dyDescent="0.3">
      <c r="A18" s="5">
        <v>16</v>
      </c>
      <c r="B18">
        <f>B17*EXP(RATES!O19)*(1-DATA!$B$6)</f>
        <v>83012.664280582845</v>
      </c>
      <c r="C18">
        <f>C17*EXP(RATES!O19)*(1-DATA!$B$6)</f>
        <v>20753.166070145711</v>
      </c>
      <c r="D18">
        <f t="shared" si="1"/>
        <v>103765.83035072856</v>
      </c>
      <c r="E18">
        <f>E17*(1-'LIFE TABLE MALE'!D78/1000*1.15)</f>
        <v>0.75419164461557286</v>
      </c>
      <c r="F18">
        <f t="shared" si="2"/>
        <v>7.4251086236063898E-2</v>
      </c>
      <c r="G18">
        <f t="shared" si="0"/>
        <v>103745.83035072856</v>
      </c>
      <c r="H18">
        <f>MAX(D18,DATA!$B$3)</f>
        <v>103765.83035072856</v>
      </c>
      <c r="I18">
        <f>G18*DATA!$B$7*F17*E18</f>
        <v>1025.2446518770064</v>
      </c>
      <c r="J18">
        <f>H18*'LIFE TABLE MALE'!D78/1000*1.15*F17*E17</f>
        <v>237.72679023868901</v>
      </c>
      <c r="K18">
        <f>0</f>
        <v>0</v>
      </c>
      <c r="L18" s="43">
        <f>DATA!$B$8*((1+DATA!$B$9)^A17)*F18*E18</f>
        <v>3.768400987402702</v>
      </c>
      <c r="M18">
        <f>B17*EXP(RATES!O19)*(DATA!$B$12)</f>
        <v>1188.3203475748055</v>
      </c>
      <c r="N18">
        <f>C17*EXP(RATES!O19)*(DATA!$B$12)</f>
        <v>297.08008689370138</v>
      </c>
      <c r="O18">
        <f t="shared" si="3"/>
        <v>1485.4004344685068</v>
      </c>
      <c r="P18">
        <f t="shared" si="4"/>
        <v>83.181754181239114</v>
      </c>
      <c r="Q18">
        <f>RATES!G19</f>
        <v>0.67509876092267374</v>
      </c>
      <c r="R18" s="44">
        <f t="shared" si="5"/>
        <v>1349.9215972843372</v>
      </c>
      <c r="S18">
        <f t="shared" si="6"/>
        <v>911.3303976694126</v>
      </c>
      <c r="T18">
        <f>C17*EXP(RATES!O19)*(DATA!$B$6-DATA!$B$12)</f>
        <v>169.76004965354363</v>
      </c>
      <c r="U18">
        <f>B17*EXP(RATES!O19)*(DATA!$B$6-DATA!$B$12)</f>
        <v>679.04019861417453</v>
      </c>
      <c r="V18">
        <f t="shared" si="7"/>
        <v>848.80024826771819</v>
      </c>
      <c r="W18">
        <f t="shared" si="8"/>
        <v>47.532430960708055</v>
      </c>
      <c r="X18">
        <f>W18*BASE!Q18</f>
        <v>32.089085245216545</v>
      </c>
    </row>
    <row r="19" spans="1:24" x14ac:dyDescent="0.3">
      <c r="A19" s="5">
        <v>17</v>
      </c>
      <c r="B19">
        <f>B18*EXP(RATES!O20)*(1-DATA!$B$6)</f>
        <v>82929.076023361471</v>
      </c>
      <c r="C19">
        <f>C18*EXP(RATES!O20)*(1-DATA!$B$6)</f>
        <v>20732.269005840368</v>
      </c>
      <c r="D19">
        <f t="shared" si="1"/>
        <v>103661.34502920184</v>
      </c>
      <c r="E19">
        <f>E18*(1-'LIFE TABLE MALE'!D79/1000*1.15)</f>
        <v>0.725683317725905</v>
      </c>
      <c r="F19">
        <f t="shared" si="2"/>
        <v>6.3113423300654309E-2</v>
      </c>
      <c r="G19">
        <f t="shared" si="0"/>
        <v>103641.34502920184</v>
      </c>
      <c r="H19">
        <f>MAX(D19,DATA!$B$3)</f>
        <v>103661.34502920184</v>
      </c>
      <c r="I19">
        <f>G19*DATA!$B$7*F18*E19</f>
        <v>837.6724850879632</v>
      </c>
      <c r="J19">
        <f>H19*'LIFE TABLE MALE'!D79/1000*1.15*F18*E18</f>
        <v>219.42766466851754</v>
      </c>
      <c r="K19">
        <f>0</f>
        <v>0</v>
      </c>
      <c r="L19" s="43">
        <f>DATA!$B$8*((1+DATA!$B$9)^A18)*F19*E19</f>
        <v>3.1437038659285581</v>
      </c>
      <c r="M19">
        <f>B18*EXP(RATES!O20)*(DATA!$B$12)</f>
        <v>1187.1237876554812</v>
      </c>
      <c r="N19">
        <f>C18*EXP(RATES!O20)*(DATA!$B$12)</f>
        <v>296.78094691387031</v>
      </c>
      <c r="O19">
        <f t="shared" si="3"/>
        <v>1483.9047345693516</v>
      </c>
      <c r="P19">
        <f t="shared" si="4"/>
        <v>67.963368695297504</v>
      </c>
      <c r="Q19">
        <f>RATES!G20</f>
        <v>0.66091208289531467</v>
      </c>
      <c r="R19" s="44">
        <f t="shared" si="5"/>
        <v>1128.2072223177067</v>
      </c>
      <c r="S19">
        <f t="shared" si="6"/>
        <v>745.64578523953287</v>
      </c>
      <c r="T19">
        <f>C18*EXP(RATES!O20)*(DATA!$B$6-DATA!$B$12)</f>
        <v>169.58911252221156</v>
      </c>
      <c r="U19">
        <f>B18*EXP(RATES!O20)*(DATA!$B$6-DATA!$B$12)</f>
        <v>678.35645008884626</v>
      </c>
      <c r="V19">
        <f t="shared" si="7"/>
        <v>847.94556261105777</v>
      </c>
      <c r="W19">
        <f t="shared" si="8"/>
        <v>38.836210683027133</v>
      </c>
      <c r="X19">
        <f>W19*BASE!Q19</f>
        <v>25.667320894280735</v>
      </c>
    </row>
    <row r="20" spans="1:24" x14ac:dyDescent="0.3">
      <c r="A20" s="5">
        <v>18</v>
      </c>
      <c r="B20">
        <f>B19*EXP(RATES!O21)*(1-DATA!$B$6)</f>
        <v>82813.18390319946</v>
      </c>
      <c r="C20">
        <f>C19*EXP(RATES!O21)*(1-DATA!$B$6)</f>
        <v>20703.295975799865</v>
      </c>
      <c r="D20">
        <f t="shared" si="1"/>
        <v>103516.47987899932</v>
      </c>
      <c r="E20">
        <f>E19*(1-'LIFE TABLE MALE'!D80/1000*1.15)</f>
        <v>0.69434840894522332</v>
      </c>
      <c r="F20">
        <f t="shared" si="2"/>
        <v>5.3646409805556163E-2</v>
      </c>
      <c r="G20">
        <f t="shared" si="0"/>
        <v>103496.47987899932</v>
      </c>
      <c r="H20">
        <f>MAX(D20,DATA!$B$3)</f>
        <v>103516.47987899932</v>
      </c>
      <c r="I20">
        <f>G20*DATA!$B$7*F19*E20</f>
        <v>680.32435674702685</v>
      </c>
      <c r="J20">
        <f>H20*'LIFE TABLE MALE'!D80/1000*1.15*F19*E19</f>
        <v>204.71971445123177</v>
      </c>
      <c r="K20">
        <f>0</f>
        <v>0</v>
      </c>
      <c r="L20" s="43">
        <f>DATA!$B$8*((1+DATA!$B$9)^A19)*F20*E20</f>
        <v>2.6079005853754924</v>
      </c>
      <c r="M20">
        <f>B19*EXP(RATES!O21)*(DATA!$B$12)</f>
        <v>1185.464800250299</v>
      </c>
      <c r="N20">
        <f>C19*EXP(RATES!O21)*(DATA!$B$12)</f>
        <v>296.36620006257476</v>
      </c>
      <c r="O20">
        <f t="shared" si="3"/>
        <v>1481.8310003128738</v>
      </c>
      <c r="P20">
        <f t="shared" si="4"/>
        <v>55.197166433946649</v>
      </c>
      <c r="Q20">
        <f>RATES!G21</f>
        <v>0.64727657622441381</v>
      </c>
      <c r="R20" s="44">
        <f t="shared" si="5"/>
        <v>942.84913821758073</v>
      </c>
      <c r="S20">
        <f t="shared" si="6"/>
        <v>610.2841620816148</v>
      </c>
      <c r="T20">
        <f>C19*EXP(RATES!O21)*(DATA!$B$6-DATA!$B$12)</f>
        <v>169.35211432147125</v>
      </c>
      <c r="U20">
        <f>B19*EXP(RATES!O21)*(DATA!$B$6-DATA!$B$12)</f>
        <v>677.40845728588499</v>
      </c>
      <c r="V20">
        <f t="shared" si="7"/>
        <v>846.76057160735627</v>
      </c>
      <c r="W20">
        <f t="shared" si="8"/>
        <v>31.54123796225522</v>
      </c>
      <c r="X20">
        <f>W20*BASE!Q20</f>
        <v>20.415904518088066</v>
      </c>
    </row>
    <row r="21" spans="1:24" x14ac:dyDescent="0.3">
      <c r="A21" s="5">
        <v>19</v>
      </c>
      <c r="B21">
        <f>B20*EXP(RATES!O22)*(1-DATA!$B$6)</f>
        <v>82680.449851873433</v>
      </c>
      <c r="C21">
        <f>C20*EXP(RATES!O22)*(1-DATA!$B$6)</f>
        <v>20670.112462968358</v>
      </c>
      <c r="D21">
        <f t="shared" si="1"/>
        <v>103350.56231484179</v>
      </c>
      <c r="E21">
        <f>E20*(1-'LIFE TABLE MALE'!D81/1000*1.15)</f>
        <v>0.66121051135321196</v>
      </c>
      <c r="F21">
        <f t="shared" si="2"/>
        <v>4.5599448334722736E-2</v>
      </c>
      <c r="G21">
        <f t="shared" si="0"/>
        <v>103330.56231484179</v>
      </c>
      <c r="H21">
        <f>MAX(D21,DATA!$B$3)</f>
        <v>103350.56231484179</v>
      </c>
      <c r="I21">
        <f>G21*DATA!$B$7*F20*E21</f>
        <v>549.79459207035018</v>
      </c>
      <c r="J21">
        <f>H21*'LIFE TABLE MALE'!D81/1000*1.15*F20*E20</f>
        <v>183.72931601004962</v>
      </c>
      <c r="K21">
        <f>0</f>
        <v>0</v>
      </c>
      <c r="L21" s="43">
        <f>DATA!$B$8*((1+DATA!$B$9)^A20)*F21*E21</f>
        <v>2.1531408154255414</v>
      </c>
      <c r="M21">
        <f>B20*EXP(RATES!O22)*(DATA!$B$12)</f>
        <v>1183.5647218059592</v>
      </c>
      <c r="N21">
        <f>C20*EXP(RATES!O22)*(DATA!$B$12)</f>
        <v>295.89118045148979</v>
      </c>
      <c r="O21">
        <f t="shared" si="3"/>
        <v>1479.455902257449</v>
      </c>
      <c r="P21">
        <f t="shared" si="4"/>
        <v>44.606830134207925</v>
      </c>
      <c r="Q21">
        <f>RATES!G22</f>
        <v>0.63405275958074025</v>
      </c>
      <c r="R21" s="44">
        <f t="shared" si="5"/>
        <v>780.28387903003329</v>
      </c>
      <c r="S21">
        <f t="shared" si="6"/>
        <v>494.74114675535714</v>
      </c>
      <c r="T21">
        <f>C20*EXP(RATES!O22)*(DATA!$B$6-DATA!$B$12)</f>
        <v>169.08067454370843</v>
      </c>
      <c r="U21">
        <f>B20*EXP(RATES!O22)*(DATA!$B$6-DATA!$B$12)</f>
        <v>676.3226981748337</v>
      </c>
      <c r="V21">
        <f t="shared" si="7"/>
        <v>845.40337271854219</v>
      </c>
      <c r="W21">
        <f t="shared" si="8"/>
        <v>25.48961721954738</v>
      </c>
      <c r="X21">
        <f>W21*BASE!Q21</f>
        <v>16.16176213871077</v>
      </c>
    </row>
    <row r="22" spans="1:24" x14ac:dyDescent="0.3">
      <c r="A22" s="6">
        <v>20</v>
      </c>
      <c r="B22">
        <f>B21*EXP(RATES!O23)*(1-DATA!$B$6)</f>
        <v>82630.136364810009</v>
      </c>
      <c r="C22">
        <f>C21*EXP(RATES!O23)*(1-DATA!$B$6)</f>
        <v>20657.534091202502</v>
      </c>
      <c r="D22">
        <f t="shared" si="1"/>
        <v>103287.67045601251</v>
      </c>
      <c r="E22">
        <f>E21*(1-'LIFE TABLE MALE'!D82/1000*1.15)</f>
        <v>0.62543936354302176</v>
      </c>
      <c r="F22">
        <f t="shared" si="2"/>
        <v>3.8759531084514326E-2</v>
      </c>
      <c r="G22">
        <f t="shared" si="0"/>
        <v>103267.67045601251</v>
      </c>
      <c r="H22">
        <f>MAX(D22,DATA!$B$3)</f>
        <v>103287.67045601251</v>
      </c>
      <c r="I22">
        <f>G22*DATA!$B$7*F21*E22</f>
        <v>441.77429140261245</v>
      </c>
      <c r="J22">
        <f>H22*'LIFE TABLE MALE'!D82/1000*1.15*F21*E21</f>
        <v>168.47712657654142</v>
      </c>
      <c r="K22">
        <f>0</f>
        <v>0</v>
      </c>
      <c r="L22" s="43">
        <f>DATA!$B$8*((1+DATA!$B$9)^A21)*F22*E22</f>
        <v>1.7657816252901799</v>
      </c>
      <c r="M22">
        <f>B21*EXP(RATES!O23)*(DATA!$B$12)</f>
        <v>1182.8444878398161</v>
      </c>
      <c r="N22">
        <f>C21*EXP(RATES!O23)*(DATA!$B$12)</f>
        <v>295.71112195995403</v>
      </c>
      <c r="O22">
        <f t="shared" si="3"/>
        <v>1478.5556097997701</v>
      </c>
      <c r="P22">
        <f t="shared" si="4"/>
        <v>35.842755423463551</v>
      </c>
      <c r="Q22">
        <f>RATES!G23</f>
        <v>0.62048117992903407</v>
      </c>
      <c r="R22" s="44">
        <f t="shared" si="5"/>
        <v>647.85995502790763</v>
      </c>
      <c r="S22">
        <f t="shared" si="6"/>
        <v>401.98490932448709</v>
      </c>
      <c r="T22">
        <f>C21*EXP(RATES!O23)*(DATA!$B$6-DATA!$B$12)</f>
        <v>168.97778397711653</v>
      </c>
      <c r="U22">
        <f>B21*EXP(RATES!O23)*(DATA!$B$6-DATA!$B$12)</f>
        <v>675.91113590846612</v>
      </c>
      <c r="V22">
        <f t="shared" si="7"/>
        <v>844.88891988558271</v>
      </c>
      <c r="W22">
        <f t="shared" si="8"/>
        <v>20.48157452769345</v>
      </c>
      <c r="X22">
        <f>W22*BASE!Q22</f>
        <v>12.708431529747681</v>
      </c>
    </row>
    <row r="23" spans="1:24" x14ac:dyDescent="0.3">
      <c r="A23" s="5">
        <v>21</v>
      </c>
      <c r="B23">
        <f>B22*EXP(RATES!O24)*(1-DATA!$B$6)</f>
        <v>82662.12593342422</v>
      </c>
      <c r="C23">
        <f>C22*EXP(RATES!O24)*(1-DATA!$B$6)</f>
        <v>20665.531483356055</v>
      </c>
      <c r="D23">
        <f t="shared" si="1"/>
        <v>103327.65741678028</v>
      </c>
      <c r="E23">
        <f>E22*(1-'LIFE TABLE MALE'!D83/1000*1.15)</f>
        <v>0.58748380991591287</v>
      </c>
      <c r="F23">
        <f t="shared" si="2"/>
        <v>3.2945601421837174E-2</v>
      </c>
      <c r="G23">
        <f t="shared" si="0"/>
        <v>103307.65741678028</v>
      </c>
      <c r="H23">
        <f>MAX(D23,DATA!$B$3)</f>
        <v>103327.65741678028</v>
      </c>
      <c r="I23">
        <f>G23*DATA!$B$7*F22*E23</f>
        <v>352.8565549850785</v>
      </c>
      <c r="J23">
        <f>H23*'LIFE TABLE MALE'!D83/1000*1.15*F22*E22</f>
        <v>152.00939420130433</v>
      </c>
      <c r="K23">
        <f>0</f>
        <v>0</v>
      </c>
      <c r="L23" s="43">
        <f>DATA!$B$8*((1+DATA!$B$9)^A22)*F23*E23</f>
        <v>1.4380261454735861</v>
      </c>
      <c r="M23">
        <f>B22*EXP(RATES!O24)*(DATA!$B$12)</f>
        <v>1183.3024162248867</v>
      </c>
      <c r="N23">
        <f>C22*EXP(RATES!O24)*(DATA!$B$12)</f>
        <v>295.82560405622166</v>
      </c>
      <c r="O23">
        <f t="shared" si="3"/>
        <v>1479.1280202811083</v>
      </c>
      <c r="P23">
        <f t="shared" si="4"/>
        <v>28.628533842093059</v>
      </c>
      <c r="Q23">
        <f>RATES!G24</f>
        <v>0.60659575547952316</v>
      </c>
      <c r="R23" s="44">
        <f t="shared" si="5"/>
        <v>534.93250917394948</v>
      </c>
      <c r="S23">
        <f t="shared" si="6"/>
        <v>324.48778953292884</v>
      </c>
      <c r="T23">
        <f>C22*EXP(RATES!O24)*(DATA!$B$6-DATA!$B$12)</f>
        <v>169.04320231784092</v>
      </c>
      <c r="U23">
        <f>B22*EXP(RATES!O24)*(DATA!$B$6-DATA!$B$12)</f>
        <v>676.17280927136369</v>
      </c>
      <c r="V23">
        <f t="shared" si="7"/>
        <v>845.21601158920464</v>
      </c>
      <c r="W23">
        <f t="shared" si="8"/>
        <v>16.359162195481744</v>
      </c>
      <c r="X23">
        <f>W23*BASE!Q23</f>
        <v>9.9233983509803032</v>
      </c>
    </row>
    <row r="24" spans="1:24" x14ac:dyDescent="0.3">
      <c r="A24" s="5">
        <v>22</v>
      </c>
      <c r="B24">
        <f>B23*EXP(RATES!O25)*(1-DATA!$B$6)</f>
        <v>82791.080503122896</v>
      </c>
      <c r="C24">
        <f>C23*EXP(RATES!O25)*(1-DATA!$B$6)</f>
        <v>20697.770125780724</v>
      </c>
      <c r="D24">
        <f t="shared" si="1"/>
        <v>103488.85062890362</v>
      </c>
      <c r="E24">
        <f>E23*(1-'LIFE TABLE MALE'!D84/1000*1.15)</f>
        <v>0.54765601651665829</v>
      </c>
      <c r="F24">
        <f t="shared" si="2"/>
        <v>2.8003761208561597E-2</v>
      </c>
      <c r="G24">
        <f t="shared" si="0"/>
        <v>103468.85062890362</v>
      </c>
      <c r="H24">
        <f>MAX(D24,DATA!$B$3)</f>
        <v>103488.85062890362</v>
      </c>
      <c r="I24">
        <f>G24*DATA!$B$7*F23*E24</f>
        <v>280.03104883907315</v>
      </c>
      <c r="J24">
        <f>H24*'LIFE TABLE MALE'!D84/1000*1.15*F23*E23</f>
        <v>135.79295815421276</v>
      </c>
      <c r="K24">
        <f>0</f>
        <v>0</v>
      </c>
      <c r="L24" s="43">
        <f>DATA!$B$8*((1+DATA!$B$9)^A23)*F24*E24</f>
        <v>1.1622454113266116</v>
      </c>
      <c r="M24">
        <f>B23*EXP(RATES!O25)*(DATA!$B$12)</f>
        <v>1185.148391660246</v>
      </c>
      <c r="N24">
        <f>C23*EXP(RATES!O25)*(DATA!$B$12)</f>
        <v>296.28709791506151</v>
      </c>
      <c r="O24">
        <f t="shared" si="3"/>
        <v>1481.4354895753077</v>
      </c>
      <c r="P24">
        <f t="shared" si="4"/>
        <v>22.719929183190398</v>
      </c>
      <c r="Q24">
        <f>RATES!G25</f>
        <v>0.59232660750473398</v>
      </c>
      <c r="R24" s="44">
        <f t="shared" si="5"/>
        <v>439.70618158780292</v>
      </c>
      <c r="S24">
        <f t="shared" si="6"/>
        <v>260.44967083876384</v>
      </c>
      <c r="T24">
        <f>C23*EXP(RATES!O25)*(DATA!$B$6-DATA!$B$12)</f>
        <v>169.30691309432083</v>
      </c>
      <c r="U24">
        <f>B23*EXP(RATES!O25)*(DATA!$B$6-DATA!$B$12)</f>
        <v>677.22765237728333</v>
      </c>
      <c r="V24">
        <f t="shared" si="7"/>
        <v>846.5345654716042</v>
      </c>
      <c r="W24">
        <f t="shared" si="8"/>
        <v>12.982816676108797</v>
      </c>
      <c r="X24">
        <f>W24*BASE!Q24</f>
        <v>7.6900677576154104</v>
      </c>
    </row>
    <row r="25" spans="1:24" x14ac:dyDescent="0.3">
      <c r="A25" s="5">
        <v>23</v>
      </c>
      <c r="B25">
        <f>B24*EXP(RATES!O26)*(1-DATA!$B$6)</f>
        <v>82994.7603613877</v>
      </c>
      <c r="C25">
        <f>C24*EXP(RATES!O26)*(1-DATA!$B$6)</f>
        <v>20748.690090346925</v>
      </c>
      <c r="D25">
        <f t="shared" si="1"/>
        <v>103743.45045173462</v>
      </c>
      <c r="E25">
        <f>E24*(1-'LIFE TABLE MALE'!D85/1000*1.15)</f>
        <v>0.50625492871180244</v>
      </c>
      <c r="F25">
        <f t="shared" si="2"/>
        <v>2.3803197027277356E-2</v>
      </c>
      <c r="G25">
        <f t="shared" si="0"/>
        <v>103723.45045173462</v>
      </c>
      <c r="H25">
        <f>MAX(D25,DATA!$B$3)</f>
        <v>103743.45045173462</v>
      </c>
      <c r="I25">
        <f>G25*DATA!$B$7*F24*E25</f>
        <v>220.57375910542487</v>
      </c>
      <c r="J25">
        <f>H25*'LIFE TABLE MALE'!D85/1000*1.15*F24*E24</f>
        <v>120.27872237294734</v>
      </c>
      <c r="K25">
        <f>0</f>
        <v>0</v>
      </c>
      <c r="L25" s="43">
        <f>DATA!$B$8*((1+DATA!$B$9)^A24)*F25*E25</f>
        <v>0.93149030458301452</v>
      </c>
      <c r="M25">
        <f>B24*EXP(RATES!O26)*(DATA!$B$12)</f>
        <v>1188.0640542529939</v>
      </c>
      <c r="N25">
        <f>C24*EXP(RATES!O26)*(DATA!$B$12)</f>
        <v>297.01601356324846</v>
      </c>
      <c r="O25">
        <f t="shared" si="3"/>
        <v>1485.0800678162423</v>
      </c>
      <c r="P25">
        <f t="shared" si="4"/>
        <v>17.895936290107368</v>
      </c>
      <c r="Q25">
        <f>RATES!G26</f>
        <v>0.57787375637469385</v>
      </c>
      <c r="R25" s="44">
        <f t="shared" si="5"/>
        <v>359.67990807306262</v>
      </c>
      <c r="S25">
        <f t="shared" si="6"/>
        <v>207.84957957068528</v>
      </c>
      <c r="T25">
        <f>C24*EXP(RATES!O26)*(DATA!$B$6-DATA!$B$12)</f>
        <v>169.72343632185621</v>
      </c>
      <c r="U25">
        <f>B24*EXP(RATES!O26)*(DATA!$B$6-DATA!$B$12)</f>
        <v>678.89374528742485</v>
      </c>
      <c r="V25">
        <f t="shared" si="7"/>
        <v>848.61718160928103</v>
      </c>
      <c r="W25">
        <f t="shared" si="8"/>
        <v>10.226249308632779</v>
      </c>
      <c r="X25">
        <f>W25*BASE!Q25</f>
        <v>5.9094811016037401</v>
      </c>
    </row>
    <row r="26" spans="1:24" x14ac:dyDescent="0.3">
      <c r="A26" s="5">
        <v>24</v>
      </c>
      <c r="B26">
        <f>B25*EXP(RATES!O27)*(1-DATA!$B$6)</f>
        <v>83283.464922455751</v>
      </c>
      <c r="C26">
        <f>C25*EXP(RATES!O27)*(1-DATA!$B$6)</f>
        <v>20820.866230613938</v>
      </c>
      <c r="D26">
        <f t="shared" si="1"/>
        <v>104104.33115306968</v>
      </c>
      <c r="E26">
        <f>E25*(1-'LIFE TABLE MALE'!D86/1000*1.15)</f>
        <v>0.46422967583814589</v>
      </c>
      <c r="F26">
        <f t="shared" si="2"/>
        <v>2.0232717473185752E-2</v>
      </c>
      <c r="G26">
        <f t="shared" si="0"/>
        <v>104084.33115306968</v>
      </c>
      <c r="H26">
        <f>MAX(D26,DATA!$B$3)</f>
        <v>104104.33115306968</v>
      </c>
      <c r="I26">
        <f>G26*DATA!$B$7*F25*E26</f>
        <v>172.52212765142627</v>
      </c>
      <c r="J26">
        <f>H26*'LIFE TABLE MALE'!D86/1000*1.15*F25*E25</f>
        <v>104.13924506742543</v>
      </c>
      <c r="K26">
        <f>0</f>
        <v>0</v>
      </c>
      <c r="L26" s="43">
        <f>DATA!$B$8*((1+DATA!$B$9)^A25)*F26*E26</f>
        <v>0.74056139915896868</v>
      </c>
      <c r="M26">
        <f>B25*EXP(RATES!O27)*(DATA!$B$12)</f>
        <v>1192.1968393807574</v>
      </c>
      <c r="N26">
        <f>C25*EXP(RATES!O27)*(DATA!$B$12)</f>
        <v>298.04920984518935</v>
      </c>
      <c r="O26">
        <f t="shared" si="3"/>
        <v>1490.2460492259468</v>
      </c>
      <c r="P26">
        <f t="shared" si="4"/>
        <v>13.997326580931679</v>
      </c>
      <c r="Q26">
        <f>RATES!G27</f>
        <v>0.56320138825489208</v>
      </c>
      <c r="R26" s="44">
        <f t="shared" si="5"/>
        <v>291.39926069894238</v>
      </c>
      <c r="S26">
        <f t="shared" si="6"/>
        <v>164.11646816209355</v>
      </c>
      <c r="T26">
        <f>C25*EXP(RATES!O27)*(DATA!$B$6-DATA!$B$12)</f>
        <v>170.313834197251</v>
      </c>
      <c r="U26">
        <f>B25*EXP(RATES!O27)*(DATA!$B$6-DATA!$B$12)</f>
        <v>681.25533678900399</v>
      </c>
      <c r="V26">
        <f t="shared" si="7"/>
        <v>851.56917098625502</v>
      </c>
      <c r="W26">
        <f t="shared" si="8"/>
        <v>7.9984723319609579</v>
      </c>
      <c r="X26">
        <f>W26*BASE!Q26</f>
        <v>4.5047507212787554</v>
      </c>
    </row>
    <row r="27" spans="1:24" x14ac:dyDescent="0.3">
      <c r="A27" s="6">
        <v>25</v>
      </c>
      <c r="B27">
        <f>B26*EXP(RATES!O28)*(1-DATA!$B$6)</f>
        <v>83627.029768984285</v>
      </c>
      <c r="C27">
        <f>C26*EXP(RATES!O28)*(1-DATA!$B$6)</f>
        <v>20906.757442246071</v>
      </c>
      <c r="D27">
        <f t="shared" si="1"/>
        <v>104533.78721123036</v>
      </c>
      <c r="E27">
        <f>E26*(1-'LIFE TABLE MALE'!D87/1000*1.15)</f>
        <v>0.42084931295524924</v>
      </c>
      <c r="F27">
        <f t="shared" si="2"/>
        <v>1.7197809852207889E-2</v>
      </c>
      <c r="G27">
        <f t="shared" si="0"/>
        <v>104513.78721123036</v>
      </c>
      <c r="H27">
        <f>MAX(D27,DATA!$B$3)</f>
        <v>104533.78721123036</v>
      </c>
      <c r="I27">
        <f>G27*DATA!$B$7*F26*E27</f>
        <v>133.489062820339</v>
      </c>
      <c r="J27">
        <f>H27*'LIFE TABLE MALE'!D87/1000*1.15*F26*E26</f>
        <v>91.749579550840167</v>
      </c>
      <c r="K27">
        <f>0</f>
        <v>0</v>
      </c>
      <c r="L27" s="43">
        <f>DATA!$B$8*((1+DATA!$B$9)^A26)*F27*E27</f>
        <v>0.58206822516552914</v>
      </c>
      <c r="M27">
        <f>B26*EXP(RATES!O28)*(DATA!$B$12)</f>
        <v>1197.1149455682821</v>
      </c>
      <c r="N27">
        <f>C26*EXP(RATES!O28)*(DATA!$B$12)</f>
        <v>299.27873639207053</v>
      </c>
      <c r="O27">
        <f t="shared" si="3"/>
        <v>1496.3936819603528</v>
      </c>
      <c r="P27">
        <f t="shared" si="4"/>
        <v>10.830428291706756</v>
      </c>
      <c r="Q27">
        <f>RATES!G28</f>
        <v>0.54854806158178537</v>
      </c>
      <c r="R27" s="44">
        <f t="shared" si="5"/>
        <v>236.65113888805143</v>
      </c>
      <c r="S27">
        <f t="shared" si="6"/>
        <v>129.81452350816249</v>
      </c>
      <c r="T27">
        <f>C26*EXP(RATES!O28)*(DATA!$B$6-DATA!$B$12)</f>
        <v>171.01642079546883</v>
      </c>
      <c r="U27">
        <f>B26*EXP(RATES!O28)*(DATA!$B$6-DATA!$B$12)</f>
        <v>684.06568318187533</v>
      </c>
      <c r="V27">
        <f t="shared" si="7"/>
        <v>855.0821039773441</v>
      </c>
      <c r="W27">
        <f t="shared" si="8"/>
        <v>6.1888161666895716</v>
      </c>
      <c r="X27">
        <f>W27*BASE!Q27</f>
        <v>3.3948631117235801</v>
      </c>
    </row>
    <row r="28" spans="1:24" x14ac:dyDescent="0.3">
      <c r="A28" s="5">
        <v>26</v>
      </c>
      <c r="B28">
        <f>B27*EXP(RATES!O29)*(1-DATA!$B$6)</f>
        <v>84031.033003797333</v>
      </c>
      <c r="C28">
        <f>C27*EXP(RATES!O29)*(1-DATA!$B$6)</f>
        <v>21007.758250949333</v>
      </c>
      <c r="D28">
        <f t="shared" si="1"/>
        <v>105038.79125474667</v>
      </c>
      <c r="E28">
        <f>E27*(1-'LIFE TABLE MALE'!D88/1000*1.15)</f>
        <v>0.37601391382046701</v>
      </c>
      <c r="F28">
        <f t="shared" si="2"/>
        <v>1.4618138374376706E-2</v>
      </c>
      <c r="G28">
        <f t="shared" si="0"/>
        <v>105018.79125474667</v>
      </c>
      <c r="H28">
        <f>MAX(D28,DATA!$B$3)</f>
        <v>105038.79125474667</v>
      </c>
      <c r="I28">
        <f>G28*DATA!$B$7*F27*E28</f>
        <v>101.86742609248829</v>
      </c>
      <c r="J28">
        <f>H28*'LIFE TABLE MALE'!D88/1000*1.15*F27*E27</f>
        <v>80.992331040369947</v>
      </c>
      <c r="K28">
        <f>0</f>
        <v>0</v>
      </c>
      <c r="L28" s="43">
        <f>DATA!$B$8*((1+DATA!$B$9)^A27)*F28*E28</f>
        <v>0.45088966684777021</v>
      </c>
      <c r="M28">
        <f>B27*EXP(RATES!O29)*(DATA!$B$12)</f>
        <v>1202.8982229582439</v>
      </c>
      <c r="N28">
        <f>C27*EXP(RATES!O29)*(DATA!$B$12)</f>
        <v>300.72455573956097</v>
      </c>
      <c r="O28">
        <f t="shared" si="3"/>
        <v>1503.6227786978047</v>
      </c>
      <c r="P28">
        <f t="shared" si="4"/>
        <v>8.2648481846242206</v>
      </c>
      <c r="Q28">
        <f>RATES!G29</f>
        <v>0.53390072310461278</v>
      </c>
      <c r="R28" s="44">
        <f t="shared" si="5"/>
        <v>191.57549498433022</v>
      </c>
      <c r="S28">
        <f t="shared" si="6"/>
        <v>102.28229530125802</v>
      </c>
      <c r="T28">
        <f>C27*EXP(RATES!O29)*(DATA!$B$6-DATA!$B$12)</f>
        <v>171.84260327974911</v>
      </c>
      <c r="U28">
        <f>B27*EXP(RATES!O29)*(DATA!$B$6-DATA!$B$12)</f>
        <v>687.37041311899645</v>
      </c>
      <c r="V28">
        <f t="shared" si="7"/>
        <v>859.21301639874559</v>
      </c>
      <c r="W28">
        <f t="shared" si="8"/>
        <v>4.7227703912138406</v>
      </c>
      <c r="X28">
        <f>W28*BASE!Q28</f>
        <v>2.5214905269261245</v>
      </c>
    </row>
    <row r="29" spans="1:24" x14ac:dyDescent="0.3">
      <c r="A29" s="5">
        <v>27</v>
      </c>
      <c r="B29">
        <f>B28*EXP(RATES!O30)*(1-DATA!$B$6)</f>
        <v>84501.26690690004</v>
      </c>
      <c r="C29">
        <f>C28*EXP(RATES!O30)*(1-DATA!$B$6)</f>
        <v>21125.31672672501</v>
      </c>
      <c r="D29">
        <f t="shared" si="1"/>
        <v>105626.58363362505</v>
      </c>
      <c r="E29">
        <f>E28*(1-'LIFE TABLE MALE'!D89/1000*1.15)</f>
        <v>0.32974479634245729</v>
      </c>
      <c r="F29">
        <f t="shared" si="2"/>
        <v>1.24254176182202E-2</v>
      </c>
      <c r="G29">
        <f t="shared" si="0"/>
        <v>105606.58363362505</v>
      </c>
      <c r="H29">
        <f>MAX(D29,DATA!$B$3)</f>
        <v>105626.58363362505</v>
      </c>
      <c r="I29">
        <f>G29*DATA!$B$7*F28*E29</f>
        <v>76.357600387844258</v>
      </c>
      <c r="J29">
        <f>H29*'LIFE TABLE MALE'!D89/1000*1.15*F28*E28</f>
        <v>71.442479329929697</v>
      </c>
      <c r="K29">
        <f>0</f>
        <v>0</v>
      </c>
      <c r="L29" s="43">
        <f>DATA!$B$8*((1+DATA!$B$9)^A28)*F29*E29</f>
        <v>0.34281784074428662</v>
      </c>
      <c r="M29">
        <f>B28*EXP(RATES!O30)*(DATA!$B$12)</f>
        <v>1209.629587624336</v>
      </c>
      <c r="N29">
        <f>C28*EXP(RATES!O30)*(DATA!$B$12)</f>
        <v>302.40739690608399</v>
      </c>
      <c r="O29">
        <f t="shared" si="3"/>
        <v>1512.0369845304199</v>
      </c>
      <c r="P29">
        <f t="shared" si="4"/>
        <v>6.1951433382483314</v>
      </c>
      <c r="Q29">
        <f>RATES!G30</f>
        <v>0.51924921182601969</v>
      </c>
      <c r="R29" s="44">
        <f t="shared" si="5"/>
        <v>154.33804089676659</v>
      </c>
      <c r="S29">
        <f t="shared" si="6"/>
        <v>80.139906090418037</v>
      </c>
      <c r="T29">
        <f>C28*EXP(RATES!O30)*(DATA!$B$6-DATA!$B$12)</f>
        <v>172.80422680347655</v>
      </c>
      <c r="U29">
        <f>B28*EXP(RATES!O30)*(DATA!$B$6-DATA!$B$12)</f>
        <v>691.21690721390621</v>
      </c>
      <c r="V29">
        <f t="shared" si="7"/>
        <v>864.02113401738279</v>
      </c>
      <c r="W29">
        <f t="shared" si="8"/>
        <v>3.540081907570475</v>
      </c>
      <c r="X29">
        <f>W29*BASE!Q29</f>
        <v>1.8381847403055214</v>
      </c>
    </row>
    <row r="30" spans="1:24" x14ac:dyDescent="0.3">
      <c r="A30" s="5">
        <v>28</v>
      </c>
      <c r="B30">
        <f>B29*EXP(RATES!O31)*(1-DATA!$B$6)</f>
        <v>85020.543140026202</v>
      </c>
      <c r="C30">
        <f>C29*EXP(RATES!O31)*(1-DATA!$B$6)</f>
        <v>21255.135785006551</v>
      </c>
      <c r="D30">
        <f t="shared" si="1"/>
        <v>106275.67892503276</v>
      </c>
      <c r="E30">
        <f>E29*(1-'LIFE TABLE MALE'!D90/1000*1.15)</f>
        <v>0.28338124061914055</v>
      </c>
      <c r="F30">
        <f t="shared" si="2"/>
        <v>1.0561604975487169E-2</v>
      </c>
      <c r="G30">
        <f t="shared" si="0"/>
        <v>106255.67892503276</v>
      </c>
      <c r="H30">
        <f>MAX(D30,DATA!$B$3)</f>
        <v>106275.67892503276</v>
      </c>
      <c r="I30">
        <f>G30*DATA!$B$7*F29*E30</f>
        <v>56.121012951769728</v>
      </c>
      <c r="J30">
        <f>H30*'LIFE TABLE MALE'!D90/1000*1.15*F29*E29</f>
        <v>61.223988384210031</v>
      </c>
      <c r="K30">
        <f>0</f>
        <v>0</v>
      </c>
      <c r="L30" s="43">
        <f>DATA!$B$8*((1+DATA!$B$9)^A29)*F30*E30</f>
        <v>0.25543220897964669</v>
      </c>
      <c r="M30">
        <f>B29*EXP(RATES!O31)*(DATA!$B$12)</f>
        <v>1217.0629897345264</v>
      </c>
      <c r="N30">
        <f>C29*EXP(RATES!O31)*(DATA!$B$12)</f>
        <v>304.26574743363159</v>
      </c>
      <c r="O30">
        <f t="shared" si="3"/>
        <v>1521.3287371681579</v>
      </c>
      <c r="P30">
        <f t="shared" si="4"/>
        <v>4.5532771538945926</v>
      </c>
      <c r="Q30">
        <f>RATES!G31</f>
        <v>0.50472410428806358</v>
      </c>
      <c r="R30" s="44">
        <f t="shared" si="5"/>
        <v>122.153710698854</v>
      </c>
      <c r="S30">
        <f t="shared" si="6"/>
        <v>61.653922217942331</v>
      </c>
      <c r="T30">
        <f>C29*EXP(RATES!O31)*(DATA!$B$6-DATA!$B$12)</f>
        <v>173.86614139064659</v>
      </c>
      <c r="U30">
        <f>B29*EXP(RATES!O31)*(DATA!$B$6-DATA!$B$12)</f>
        <v>695.46456556258636</v>
      </c>
      <c r="V30">
        <f t="shared" si="7"/>
        <v>869.33070695323295</v>
      </c>
      <c r="W30">
        <f t="shared" si="8"/>
        <v>2.6018726593683383</v>
      </c>
      <c r="X30">
        <f>W30*BASE!Q30</f>
        <v>1.3132278474712866</v>
      </c>
    </row>
    <row r="31" spans="1:24" x14ac:dyDescent="0.3">
      <c r="A31" s="5">
        <v>29</v>
      </c>
      <c r="B31">
        <f>B30*EXP(RATES!O32)*(1-DATA!$B$6)</f>
        <v>85568.006571671765</v>
      </c>
      <c r="C31">
        <f>C30*EXP(RATES!O32)*(1-DATA!$B$6)</f>
        <v>21392.001642917941</v>
      </c>
      <c r="D31">
        <f t="shared" si="1"/>
        <v>106960.0082145897</v>
      </c>
      <c r="E31">
        <f>E30*(1-'LIFE TABLE MALE'!D91/1000*1.15)</f>
        <v>0.23779616628260467</v>
      </c>
      <c r="F31">
        <f t="shared" si="2"/>
        <v>8.9773642291640938E-3</v>
      </c>
      <c r="G31">
        <f t="shared" si="0"/>
        <v>106940.0082145897</v>
      </c>
      <c r="H31">
        <f>MAX(D31,DATA!$B$3)</f>
        <v>106960.0082145897</v>
      </c>
      <c r="I31">
        <f>G31*DATA!$B$7*F30*E31</f>
        <v>40.287121738138161</v>
      </c>
      <c r="J31">
        <f>H31*'LIFE TABLE MALE'!D91/1000*1.15*F30*E30</f>
        <v>51.496061520526055</v>
      </c>
      <c r="K31">
        <f>0</f>
        <v>0</v>
      </c>
      <c r="L31" s="43">
        <f>DATA!$B$8*((1+DATA!$B$9)^A30)*F31*E31</f>
        <v>0.18583542622658455</v>
      </c>
      <c r="M31">
        <f>B30*EXP(RATES!O32)*(DATA!$B$12)</f>
        <v>1224.8998895740335</v>
      </c>
      <c r="N31">
        <f>C30*EXP(RATES!O32)*(DATA!$B$12)</f>
        <v>306.22497239350838</v>
      </c>
      <c r="O31">
        <f t="shared" si="3"/>
        <v>1531.1248619675418</v>
      </c>
      <c r="P31">
        <f t="shared" si="4"/>
        <v>3.2686190154145804</v>
      </c>
      <c r="Q31">
        <f>RATES!G32</f>
        <v>0.49046199601095725</v>
      </c>
      <c r="R31" s="45">
        <f t="shared" si="5"/>
        <v>95.237637700305385</v>
      </c>
      <c r="S31">
        <f t="shared" si="6"/>
        <v>46.71044188186017</v>
      </c>
      <c r="T31">
        <f>C30*EXP(RATES!O32)*(DATA!$B$6-DATA!$B$12)</f>
        <v>174.98569851057619</v>
      </c>
      <c r="U31">
        <f>B30*EXP(RATES!O32)*(DATA!$B$6-DATA!$B$12)</f>
        <v>699.94279404230474</v>
      </c>
      <c r="V31">
        <f t="shared" si="7"/>
        <v>874.92849255288093</v>
      </c>
      <c r="W31">
        <f t="shared" si="8"/>
        <v>1.8677822945226168</v>
      </c>
      <c r="X31">
        <f>W31*BASE!Q31</f>
        <v>0.91607623228548829</v>
      </c>
    </row>
    <row r="32" spans="1:24" x14ac:dyDescent="0.3">
      <c r="A32" s="6">
        <v>30</v>
      </c>
      <c r="B32">
        <f>B31*EXP(RATES!O33)*(1-DATA!$B$6)</f>
        <v>86144.154157072146</v>
      </c>
      <c r="C32">
        <f>C31*EXP(RATES!O33)*(1-DATA!$B$6)</f>
        <v>21536.038539268036</v>
      </c>
      <c r="D32">
        <f t="shared" si="1"/>
        <v>107680.19269634018</v>
      </c>
      <c r="E32">
        <f>E31*(1-'LIFE TABLE MALE'!D92/1000*1.15)</f>
        <v>0.19403261724087995</v>
      </c>
      <c r="F32">
        <f t="shared" si="2"/>
        <v>7.6307595947894798E-3</v>
      </c>
      <c r="G32">
        <f t="shared" si="0"/>
        <v>107660.19269634018</v>
      </c>
      <c r="H32">
        <f>MAX(D32,DATA!$B$3)</f>
        <v>107680.19269634018</v>
      </c>
      <c r="I32">
        <f>G32*DATA!$B$7*F31*E32</f>
        <v>28.13001730577486</v>
      </c>
      <c r="J32">
        <f>H32*'LIFE TABLE MALE'!D92/1000*1.15*F31*E31</f>
        <v>42.305536212998113</v>
      </c>
      <c r="K32">
        <f>0</f>
        <v>0</v>
      </c>
      <c r="L32" s="43">
        <f>DATA!$B$8*((1+DATA!$B$9)^A31)*F32*E32</f>
        <v>0.13146722580379419</v>
      </c>
      <c r="M32">
        <f>B31*EXP(RATES!O33)*(DATA!$B$12)</f>
        <v>1233.1474010214827</v>
      </c>
      <c r="N32">
        <f>C31*EXP(RATES!O33)*(DATA!$B$12)</f>
        <v>308.28685025537067</v>
      </c>
      <c r="O32">
        <f t="shared" si="3"/>
        <v>1541.4342512768533</v>
      </c>
      <c r="P32">
        <f t="shared" si="4"/>
        <v>2.2822726095532433</v>
      </c>
      <c r="Q32">
        <f>RATES!G33</f>
        <v>0.47646370067584165</v>
      </c>
      <c r="R32" s="45">
        <f t="shared" si="5"/>
        <v>72.849293354130012</v>
      </c>
      <c r="S32">
        <f t="shared" si="6"/>
        <v>34.710043903128785</v>
      </c>
      <c r="T32">
        <f>C31*EXP(RATES!O33)*(DATA!$B$6-DATA!$B$12)</f>
        <v>176.16391443164034</v>
      </c>
      <c r="U32">
        <f>B31*EXP(RATES!O33)*(DATA!$B$6-DATA!$B$12)</f>
        <v>704.65565772656134</v>
      </c>
      <c r="V32">
        <f t="shared" si="7"/>
        <v>880.81957215820171</v>
      </c>
      <c r="W32">
        <f t="shared" si="8"/>
        <v>1.3041557768875676</v>
      </c>
      <c r="X32">
        <f>W32*BASE!Q32</f>
        <v>0.62138288771362771</v>
      </c>
    </row>
    <row r="33" spans="1:24" x14ac:dyDescent="0.3">
      <c r="A33" s="5">
        <v>31</v>
      </c>
      <c r="B33">
        <f>B32*EXP(RATES!O34)*(1-DATA!$B$6)</f>
        <v>86775.747166721878</v>
      </c>
      <c r="C33">
        <f>C32*EXP(RATES!O34)*(1-DATA!$B$6)</f>
        <v>21693.936791680469</v>
      </c>
      <c r="D33">
        <f t="shared" si="1"/>
        <v>108469.68395840234</v>
      </c>
      <c r="E33">
        <f>E32*(1-'LIFE TABLE MALE'!D93/1000*1.15)</f>
        <v>0.15369857550606225</v>
      </c>
      <c r="F33">
        <f t="shared" si="2"/>
        <v>6.486145655571058E-3</v>
      </c>
      <c r="G33">
        <f t="shared" si="0"/>
        <v>108449.68395840234</v>
      </c>
      <c r="H33">
        <f>MAX(D33,DATA!$B$3)</f>
        <v>108469.68395840234</v>
      </c>
      <c r="I33">
        <f>G33*DATA!$B$7*F32*E33</f>
        <v>19.079068341520252</v>
      </c>
      <c r="J33">
        <f>H33*'LIFE TABLE MALE'!D93/1000*1.15*F32*E32</f>
        <v>33.384731639794396</v>
      </c>
      <c r="K33">
        <f>0</f>
        <v>0</v>
      </c>
      <c r="L33" s="43">
        <f>DATA!$B$8*((1+DATA!$B$9)^A32)*F33*E33</f>
        <v>9.0288345906822498E-2</v>
      </c>
      <c r="M33">
        <f>B32*EXP(RATES!O34)*(DATA!$B$12)</f>
        <v>1242.1886097485749</v>
      </c>
      <c r="N33">
        <f>C32*EXP(RATES!O34)*(DATA!$B$12)</f>
        <v>310.54715243714372</v>
      </c>
      <c r="O33">
        <f t="shared" si="3"/>
        <v>1552.7357621857186</v>
      </c>
      <c r="P33">
        <f t="shared" si="4"/>
        <v>1.5479399014362512</v>
      </c>
      <c r="Q33">
        <f>RATES!G34</f>
        <v>0.46258987582736705</v>
      </c>
      <c r="R33" s="45">
        <f t="shared" si="5"/>
        <v>54.102028228657716</v>
      </c>
      <c r="S33">
        <f t="shared" si="6"/>
        <v>25.027050520303479</v>
      </c>
      <c r="T33">
        <f>C32*EXP(RATES!O34)*(DATA!$B$6-DATA!$B$12)</f>
        <v>177.45551567836782</v>
      </c>
      <c r="U33">
        <f>B32*EXP(RATES!O34)*(DATA!$B$6-DATA!$B$12)</f>
        <v>709.82206271347127</v>
      </c>
      <c r="V33">
        <f t="shared" si="7"/>
        <v>887.27757839183914</v>
      </c>
      <c r="W33">
        <f t="shared" si="8"/>
        <v>0.88453708653500063</v>
      </c>
      <c r="X33">
        <f>W33*BASE!Q33</f>
        <v>0.40917790102492696</v>
      </c>
    </row>
    <row r="34" spans="1:24" x14ac:dyDescent="0.3">
      <c r="A34" s="5">
        <v>32</v>
      </c>
      <c r="B34">
        <f>B33*EXP(RATES!O35)*(1-DATA!$B$6)</f>
        <v>87439.193933082599</v>
      </c>
      <c r="C34">
        <f>C33*EXP(RATES!O35)*(1-DATA!$B$6)</f>
        <v>21859.79848327065</v>
      </c>
      <c r="D34">
        <f t="shared" si="1"/>
        <v>109298.99241635326</v>
      </c>
      <c r="E34">
        <f>E33*(1-'LIFE TABLE MALE'!D94/1000*1.15)</f>
        <v>0.11831367485114917</v>
      </c>
      <c r="F34">
        <f t="shared" si="2"/>
        <v>5.5132238072353994E-3</v>
      </c>
      <c r="G34">
        <f t="shared" si="0"/>
        <v>109278.99241635326</v>
      </c>
      <c r="H34">
        <f>MAX(D34,DATA!$B$3)</f>
        <v>109298.99241635326</v>
      </c>
      <c r="I34">
        <f>G34*DATA!$B$7*F33*E34</f>
        <v>12.579100360601487</v>
      </c>
      <c r="J34">
        <f>H34*'LIFE TABLE MALE'!D94/1000*1.15*F33*E33</f>
        <v>25.085388776210895</v>
      </c>
      <c r="K34">
        <f>0</f>
        <v>0</v>
      </c>
      <c r="L34" s="43">
        <f>DATA!$B$8*((1+DATA!$B$9)^A33)*F34*E34</f>
        <v>6.0258164084548406E-2</v>
      </c>
      <c r="M34">
        <f>B33*EXP(RATES!O35)*(DATA!$B$12)</f>
        <v>1251.6858027230637</v>
      </c>
      <c r="N34">
        <f>C33*EXP(RATES!O35)*(DATA!$B$12)</f>
        <v>312.92145068076593</v>
      </c>
      <c r="O34">
        <f t="shared" si="3"/>
        <v>1564.6072534038296</v>
      </c>
      <c r="P34">
        <f t="shared" si="4"/>
        <v>1.0205773037590453</v>
      </c>
      <c r="Q34">
        <f>RATES!G35</f>
        <v>0.44898020595178956</v>
      </c>
      <c r="R34" s="45">
        <f t="shared" si="5"/>
        <v>38.745324604655977</v>
      </c>
      <c r="S34">
        <f t="shared" si="6"/>
        <v>17.395883820667379</v>
      </c>
      <c r="T34">
        <f>C33*EXP(RATES!O35)*(DATA!$B$6-DATA!$B$12)</f>
        <v>178.81225753186621</v>
      </c>
      <c r="U34">
        <f>B33*EXP(RATES!O35)*(DATA!$B$6-DATA!$B$12)</f>
        <v>715.24903012746483</v>
      </c>
      <c r="V34">
        <f t="shared" si="7"/>
        <v>894.06128765933101</v>
      </c>
      <c r="W34">
        <f t="shared" si="8"/>
        <v>0.58318703071945432</v>
      </c>
      <c r="X34">
        <f>W34*BASE!Q34</f>
        <v>0.26183943316083325</v>
      </c>
    </row>
    <row r="35" spans="1:24" x14ac:dyDescent="0.3">
      <c r="A35" s="5">
        <v>33</v>
      </c>
      <c r="B35">
        <f>B34*EXP(RATES!O36)*(1-DATA!$B$6)</f>
        <v>88135.146395904914</v>
      </c>
      <c r="C35">
        <f>C34*EXP(RATES!O36)*(1-DATA!$B$6)</f>
        <v>22033.786598976229</v>
      </c>
      <c r="D35">
        <f t="shared" si="1"/>
        <v>110168.93299488115</v>
      </c>
      <c r="E35">
        <f>E34*(1-'LIFE TABLE MALE'!D95/1000*1.15)</f>
        <v>8.774144605632711E-2</v>
      </c>
      <c r="F35">
        <f t="shared" si="2"/>
        <v>4.6862402361500894E-3</v>
      </c>
      <c r="G35">
        <f t="shared" si="0"/>
        <v>110148.93299488115</v>
      </c>
      <c r="H35">
        <f>MAX(D35,DATA!$B$3)</f>
        <v>110168.93299488115</v>
      </c>
      <c r="I35">
        <f>G35*DATA!$B$7*F34*E35</f>
        <v>7.9924874705873066</v>
      </c>
      <c r="J35">
        <f>H35*'LIFE TABLE MALE'!D95/1000*1.15*F34*E34</f>
        <v>18.569143275886507</v>
      </c>
      <c r="K35">
        <f>0</f>
        <v>0</v>
      </c>
      <c r="L35" s="43">
        <f>DATA!$B$8*((1+DATA!$B$9)^A34)*F35*E35</f>
        <v>3.8744033983664682E-2</v>
      </c>
      <c r="M35">
        <f>B34*EXP(RATES!O36)*(DATA!$B$12)</f>
        <v>1261.6483124158169</v>
      </c>
      <c r="N35">
        <f>C34*EXP(RATES!O36)*(DATA!$B$12)</f>
        <v>315.41207810395423</v>
      </c>
      <c r="O35">
        <f t="shared" si="3"/>
        <v>1577.0603905197711</v>
      </c>
      <c r="P35">
        <f t="shared" si="4"/>
        <v>0.64845174065967415</v>
      </c>
      <c r="Q35">
        <f>RATES!G36</f>
        <v>0.43563530089638008</v>
      </c>
      <c r="R35" s="45">
        <f t="shared" si="5"/>
        <v>27.248826521117152</v>
      </c>
      <c r="S35">
        <f t="shared" si="6"/>
        <v>11.870550740600132</v>
      </c>
      <c r="T35">
        <f>C34*EXP(RATES!O36)*(DATA!$B$6-DATA!$B$12)</f>
        <v>180.2354732022595</v>
      </c>
      <c r="U35">
        <f>B34*EXP(RATES!O36)*(DATA!$B$6-DATA!$B$12)</f>
        <v>720.94189280903799</v>
      </c>
      <c r="V35">
        <f t="shared" si="7"/>
        <v>901.17736601129752</v>
      </c>
      <c r="W35">
        <f t="shared" si="8"/>
        <v>0.37054385180552801</v>
      </c>
      <c r="X35">
        <f>W35*BASE!Q35</f>
        <v>0.16142198237660488</v>
      </c>
    </row>
    <row r="36" spans="1:24" x14ac:dyDescent="0.3">
      <c r="A36" s="5">
        <v>34</v>
      </c>
      <c r="B36">
        <f>B35*EXP(RATES!O37)*(1-DATA!$B$6)</f>
        <v>88864.291917679613</v>
      </c>
      <c r="C36">
        <f>C35*EXP(RATES!O37)*(1-DATA!$B$6)</f>
        <v>22216.072979419903</v>
      </c>
      <c r="D36">
        <f t="shared" si="1"/>
        <v>111080.36489709951</v>
      </c>
      <c r="E36">
        <f>E35*(1-'LIFE TABLE MALE'!D96/1000*1.15)</f>
        <v>6.2919446463456805E-2</v>
      </c>
      <c r="F36">
        <f t="shared" si="2"/>
        <v>3.9833042007275761E-3</v>
      </c>
      <c r="G36">
        <f t="shared" si="0"/>
        <v>111060.36489709951</v>
      </c>
      <c r="H36">
        <f>MAX(D36,DATA!$B$3)</f>
        <v>111080.36489709951</v>
      </c>
      <c r="I36">
        <f>G36*DATA!$B$7*F35*E36</f>
        <v>4.9120162730982972</v>
      </c>
      <c r="J36">
        <f>H36*'LIFE TABLE MALE'!D96/1000*1.15*F35*E35</f>
        <v>12.921073902718467</v>
      </c>
      <c r="K36">
        <f>0</f>
        <v>0</v>
      </c>
      <c r="L36" s="43">
        <f>DATA!$B$8*((1+DATA!$B$9)^A35)*F36*E36</f>
        <v>2.4088182895674212E-2</v>
      </c>
      <c r="M36">
        <f>B35*EXP(RATES!O37)*(DATA!$B$12)</f>
        <v>1272.0859783716919</v>
      </c>
      <c r="N36">
        <f>C35*EXP(RATES!O37)*(DATA!$B$12)</f>
        <v>318.02149459292298</v>
      </c>
      <c r="O36">
        <f t="shared" si="3"/>
        <v>1590.1074729646148</v>
      </c>
      <c r="P36">
        <f t="shared" si="4"/>
        <v>0.39852433535294329</v>
      </c>
      <c r="Q36">
        <f>RATES!G37</f>
        <v>0.42255550600771669</v>
      </c>
      <c r="R36" s="45">
        <f t="shared" si="5"/>
        <v>18.255702694065384</v>
      </c>
      <c r="S36">
        <f t="shared" si="6"/>
        <v>7.7140476894172352</v>
      </c>
      <c r="T36">
        <f>C35*EXP(RATES!O37)*(DATA!$B$6-DATA!$B$12)</f>
        <v>181.72656833881308</v>
      </c>
      <c r="U36">
        <f>B35*EXP(RATES!O37)*(DATA!$B$6-DATA!$B$12)</f>
        <v>726.90627335525232</v>
      </c>
      <c r="V36">
        <f t="shared" si="7"/>
        <v>908.63284169406541</v>
      </c>
      <c r="W36">
        <f t="shared" si="8"/>
        <v>0.22772819163025326</v>
      </c>
      <c r="X36">
        <f>W36*BASE!Q36</f>
        <v>9.622780124654394E-2</v>
      </c>
    </row>
    <row r="37" spans="1:24" x14ac:dyDescent="0.3">
      <c r="A37" s="6">
        <v>35</v>
      </c>
      <c r="B37">
        <f>B36*EXP(RATES!O38)*(1-DATA!$B$6)</f>
        <v>89596.779479446108</v>
      </c>
      <c r="C37">
        <f>C36*EXP(RATES!O38)*(1-DATA!$B$6)</f>
        <v>22399.194869861527</v>
      </c>
      <c r="D37">
        <f t="shared" si="1"/>
        <v>111995.97434930764</v>
      </c>
      <c r="E37">
        <f>E36*(1-'LIFE TABLE MALE'!D97/1000*1.15)</f>
        <v>4.2976463351670623E-2</v>
      </c>
      <c r="F37">
        <f t="shared" si="2"/>
        <v>3.3858085706184394E-3</v>
      </c>
      <c r="G37">
        <f t="shared" si="0"/>
        <v>111975.97434930764</v>
      </c>
      <c r="H37">
        <f>MAX(D37,DATA!$B$3)</f>
        <v>111995.97434930764</v>
      </c>
      <c r="I37">
        <f>G37*DATA!$B$7*F36*E37</f>
        <v>2.8753469569768177</v>
      </c>
      <c r="J37">
        <f>H37*'LIFE TABLE MALE'!D97/1000*1.15*F36*E36</f>
        <v>8.8968446677341468</v>
      </c>
      <c r="K37">
        <f>0</f>
        <v>0</v>
      </c>
      <c r="L37" s="43">
        <f>DATA!$B$8*((1+DATA!$B$9)^A36)*F37*E37</f>
        <v>1.4264906112804687E-2</v>
      </c>
      <c r="M37">
        <f>B36*EXP(RATES!O38)*(DATA!$B$12)</f>
        <v>1282.5714853908441</v>
      </c>
      <c r="N37">
        <f>C36*EXP(RATES!O38)*(DATA!$B$12)</f>
        <v>320.64287134771104</v>
      </c>
      <c r="O37">
        <f t="shared" si="3"/>
        <v>1603.2143567385551</v>
      </c>
      <c r="P37">
        <f t="shared" si="4"/>
        <v>0.2332838460211184</v>
      </c>
      <c r="Q37">
        <f>RATES!G38</f>
        <v>0.40988073390848567</v>
      </c>
      <c r="R37" s="45">
        <f t="shared" si="5"/>
        <v>12.019740376844888</v>
      </c>
      <c r="S37">
        <f t="shared" si="6"/>
        <v>4.926660007050641</v>
      </c>
      <c r="T37">
        <f>C36*EXP(RATES!O38)*(DATA!$B$6-DATA!$B$12)</f>
        <v>183.22449791297771</v>
      </c>
      <c r="U37">
        <f>B36*EXP(RATES!O38)*(DATA!$B$6-DATA!$B$12)</f>
        <v>732.89799165191084</v>
      </c>
      <c r="V37">
        <f t="shared" si="7"/>
        <v>916.12248956488861</v>
      </c>
      <c r="W37">
        <f t="shared" si="8"/>
        <v>0.13330505486921052</v>
      </c>
      <c r="X37">
        <f>W37*BASE!Q37</f>
        <v>5.4639173723502958E-2</v>
      </c>
    </row>
    <row r="38" spans="1:24" x14ac:dyDescent="0.3">
      <c r="A38" s="5">
        <v>36</v>
      </c>
      <c r="B38">
        <f>B37*EXP(RATES!O39)*(1-DATA!$B$6)</f>
        <v>90361.659728555722</v>
      </c>
      <c r="C38">
        <f>C37*EXP(RATES!O39)*(1-DATA!$B$6)</f>
        <v>22590.41493213893</v>
      </c>
      <c r="D38">
        <f t="shared" si="1"/>
        <v>112952.07466069465</v>
      </c>
      <c r="E38">
        <f>E37*(1-'LIFE TABLE MALE'!D98/1000*1.15)</f>
        <v>2.7874770242583214E-2</v>
      </c>
      <c r="F38">
        <f t="shared" si="2"/>
        <v>2.8779372850256733E-3</v>
      </c>
      <c r="G38">
        <f t="shared" si="0"/>
        <v>112932.07466069465</v>
      </c>
      <c r="H38">
        <f>MAX(D38,DATA!$B$3)</f>
        <v>112952.07466069465</v>
      </c>
      <c r="I38">
        <f>G38*DATA!$B$7*F37*E38</f>
        <v>1.5987562749225859</v>
      </c>
      <c r="J38">
        <f>H38*'LIFE TABLE MALE'!D98/1000*1.15*F37*E37</f>
        <v>5.7754024497294383</v>
      </c>
      <c r="K38">
        <f>0</f>
        <v>0</v>
      </c>
      <c r="L38" s="43">
        <f>DATA!$B$8*((1+DATA!$B$9)^A37)*F38*E38</f>
        <v>8.0217410448301142E-3</v>
      </c>
      <c r="M38">
        <f>B37*EXP(RATES!O39)*(DATA!$B$12)</f>
        <v>1293.520691410818</v>
      </c>
      <c r="N38">
        <f>C37*EXP(RATES!O39)*(DATA!$B$12)</f>
        <v>323.3801728527045</v>
      </c>
      <c r="O38">
        <f t="shared" si="3"/>
        <v>1616.9008642635226</v>
      </c>
      <c r="P38">
        <f t="shared" si="4"/>
        <v>0.12971076338707338</v>
      </c>
      <c r="Q38">
        <f>RATES!G39</f>
        <v>0.39747018785099719</v>
      </c>
      <c r="R38" s="46">
        <f t="shared" si="5"/>
        <v>7.5118912290839273</v>
      </c>
      <c r="S38">
        <f t="shared" si="6"/>
        <v>2.9857528179402468</v>
      </c>
      <c r="T38">
        <f>C37*EXP(RATES!O39)*(DATA!$B$6-DATA!$B$12)</f>
        <v>184.78867020154539</v>
      </c>
      <c r="U38">
        <f>B37*EXP(RATES!O39)*(DATA!$B$6-DATA!$B$12)</f>
        <v>739.15468080618155</v>
      </c>
      <c r="V38">
        <f t="shared" si="7"/>
        <v>923.94335100772696</v>
      </c>
      <c r="W38">
        <f t="shared" si="8"/>
        <v>7.4120436221184763E-2</v>
      </c>
      <c r="X38">
        <f>W38*BASE!Q38</f>
        <v>2.9460663708432165E-2</v>
      </c>
    </row>
    <row r="39" spans="1:24" x14ac:dyDescent="0.3">
      <c r="A39" s="5">
        <v>37</v>
      </c>
      <c r="B39">
        <f>B38*EXP(RATES!O40)*(1-DATA!$B$6)</f>
        <v>91159.651578764926</v>
      </c>
      <c r="C39">
        <f>C38*EXP(RATES!O40)*(1-DATA!$B$6)</f>
        <v>22789.912894691231</v>
      </c>
      <c r="D39">
        <f t="shared" si="1"/>
        <v>113949.56447345615</v>
      </c>
      <c r="E39">
        <f>E38*(1-'LIFE TABLE MALE'!D99/1000*1.15)</f>
        <v>1.7213689545209198E-2</v>
      </c>
      <c r="F39">
        <f t="shared" si="2"/>
        <v>2.4462466922718223E-3</v>
      </c>
      <c r="G39">
        <f t="shared" si="0"/>
        <v>113929.56447345615</v>
      </c>
      <c r="H39">
        <f>MAX(D39,DATA!$B$3)</f>
        <v>113949.56447345615</v>
      </c>
      <c r="I39">
        <f>G39*DATA!$B$7*F38*E39</f>
        <v>0.84660920858926203</v>
      </c>
      <c r="J39">
        <f>H39*'LIFE TABLE MALE'!D99/1000*1.15*F38*E38</f>
        <v>3.4961916078178095</v>
      </c>
      <c r="K39">
        <f>0</f>
        <v>0</v>
      </c>
      <c r="L39" s="43">
        <f>DATA!$B$8*((1+DATA!$B$9)^A38)*F39*E39</f>
        <v>4.2948737816139917E-3</v>
      </c>
      <c r="M39">
        <f>B38*EXP(RATES!O40)*(DATA!$B$12)</f>
        <v>1304.9438876305819</v>
      </c>
      <c r="N39">
        <f>C38*EXP(RATES!O40)*(DATA!$B$12)</f>
        <v>326.23597190764548</v>
      </c>
      <c r="O39">
        <f t="shared" si="3"/>
        <v>1631.1798595382274</v>
      </c>
      <c r="P39">
        <f t="shared" si="4"/>
        <v>6.8687240336188921E-2</v>
      </c>
      <c r="Q39">
        <f>RATES!G40</f>
        <v>0.38532302185706108</v>
      </c>
      <c r="R39" s="46">
        <f t="shared" si="5"/>
        <v>4.4157829305248741</v>
      </c>
      <c r="S39">
        <f t="shared" si="6"/>
        <v>1.7015028226546733</v>
      </c>
      <c r="T39">
        <f>C38*EXP(RATES!O40)*(DATA!$B$6-DATA!$B$12)</f>
        <v>186.42055537579736</v>
      </c>
      <c r="U39">
        <f>B38*EXP(RATES!O40)*(DATA!$B$6-DATA!$B$12)</f>
        <v>745.68222150318945</v>
      </c>
      <c r="V39">
        <f t="shared" si="7"/>
        <v>932.10277687898679</v>
      </c>
      <c r="W39">
        <f t="shared" si="8"/>
        <v>3.9249851620679371E-2</v>
      </c>
      <c r="X39">
        <f>W39*BASE!Q39</f>
        <v>1.5123871433921441E-2</v>
      </c>
    </row>
    <row r="40" spans="1:24" x14ac:dyDescent="0.3">
      <c r="A40" s="5">
        <v>38</v>
      </c>
      <c r="B40">
        <f>B39*EXP(RATES!O41)*(1-DATA!$B$6)</f>
        <v>91991.509139589645</v>
      </c>
      <c r="C40">
        <f>C39*EXP(RATES!O41)*(1-DATA!$B$6)</f>
        <v>22997.877284897411</v>
      </c>
      <c r="D40">
        <f t="shared" si="1"/>
        <v>114989.38642448705</v>
      </c>
      <c r="E40">
        <f>E39*(1-'LIFE TABLE MALE'!D100/1000*1.15)</f>
        <v>1.0154969638555035E-2</v>
      </c>
      <c r="F40">
        <f t="shared" si="2"/>
        <v>2.0793096884310488E-3</v>
      </c>
      <c r="G40">
        <f t="shared" si="0"/>
        <v>114969.38642448705</v>
      </c>
      <c r="H40">
        <f>MAX(D40,DATA!$B$3)</f>
        <v>114989.38642448705</v>
      </c>
      <c r="I40">
        <f>G40*DATA!$B$7*F39*E40</f>
        <v>0.42840285197550393</v>
      </c>
      <c r="J40">
        <f>H40*'LIFE TABLE MALE'!D100/1000*1.15*F39*E39</f>
        <v>1.9855643071447162</v>
      </c>
      <c r="K40">
        <f>0</f>
        <v>0</v>
      </c>
      <c r="L40" s="43">
        <f>DATA!$B$8*((1+DATA!$B$9)^A39)*F40*E40</f>
        <v>2.1967172781210014E-3</v>
      </c>
      <c r="M40">
        <f>B39*EXP(RATES!O41)*(DATA!$B$12)</f>
        <v>1316.8518690738806</v>
      </c>
      <c r="N40">
        <f>C39*EXP(RATES!O41)*(DATA!$B$12)</f>
        <v>329.21296726847015</v>
      </c>
      <c r="O40">
        <f t="shared" si="3"/>
        <v>1646.0648363423506</v>
      </c>
      <c r="P40">
        <f t="shared" si="4"/>
        <v>3.4757196879565196E-2</v>
      </c>
      <c r="Q40">
        <f>RATES!G41</f>
        <v>0.37343818647922755</v>
      </c>
      <c r="R40" s="46">
        <f t="shared" si="5"/>
        <v>2.4509210732779065</v>
      </c>
      <c r="S40">
        <f t="shared" si="6"/>
        <v>0.91526752080862339</v>
      </c>
      <c r="T40">
        <f>C39*EXP(RATES!O41)*(DATA!$B$6-DATA!$B$12)</f>
        <v>188.12169558198289</v>
      </c>
      <c r="U40">
        <f>B39*EXP(RATES!O41)*(DATA!$B$6-DATA!$B$12)</f>
        <v>752.48678232793156</v>
      </c>
      <c r="V40">
        <f t="shared" si="7"/>
        <v>940.60847790991443</v>
      </c>
      <c r="W40">
        <f t="shared" si="8"/>
        <v>1.9861255359751539E-2</v>
      </c>
      <c r="X40">
        <f>W40*BASE!Q40</f>
        <v>7.4169511827464531E-3</v>
      </c>
    </row>
    <row r="41" spans="1:24" x14ac:dyDescent="0.3">
      <c r="A41" s="5">
        <v>39</v>
      </c>
      <c r="B41">
        <f>B40*EXP(RATES!O42)*(1-DATA!$B$6)</f>
        <v>92822.74661856427</v>
      </c>
      <c r="C41">
        <f>C40*EXP(RATES!O42)*(1-DATA!$B$6)</f>
        <v>23205.686654641067</v>
      </c>
      <c r="D41">
        <f t="shared" si="1"/>
        <v>116028.43327320533</v>
      </c>
      <c r="E41">
        <f>E40*(1-'LIFE TABLE MALE'!D101/1000*1.15)</f>
        <v>5.7279578807781801E-3</v>
      </c>
      <c r="F41">
        <f t="shared" si="2"/>
        <v>1.7674132351663914E-3</v>
      </c>
      <c r="G41">
        <f t="shared" si="0"/>
        <v>116008.43327320533</v>
      </c>
      <c r="H41">
        <f>MAX(D41,DATA!$B$3)</f>
        <v>116028.43327320533</v>
      </c>
      <c r="I41">
        <f>G41*DATA!$B$7*F40*E41</f>
        <v>0.20725251699928043</v>
      </c>
      <c r="J41">
        <f>H41*'LIFE TABLE MALE'!D101/1000*1.15*F40*E40</f>
        <v>1.0680566308260444</v>
      </c>
      <c r="K41">
        <f>0</f>
        <v>0</v>
      </c>
      <c r="L41" s="43">
        <f>DATA!$B$8*((1+DATA!$B$9)^A40)*F41*E41</f>
        <v>1.0742724789293201E-3</v>
      </c>
      <c r="M41">
        <f>B40*EXP(RATES!O42)*(DATA!$B$12)</f>
        <v>1328.7509740898772</v>
      </c>
      <c r="N41">
        <f>C40*EXP(RATES!O42)*(DATA!$B$12)</f>
        <v>332.1877435224693</v>
      </c>
      <c r="O41">
        <f t="shared" si="3"/>
        <v>1660.9387176123464</v>
      </c>
      <c r="P41">
        <f t="shared" si="4"/>
        <v>1.6814793090465806E-2</v>
      </c>
      <c r="Q41">
        <f>RATES!G42</f>
        <v>0.36195193998143993</v>
      </c>
      <c r="R41" s="46">
        <f t="shared" si="5"/>
        <v>1.29319821339472</v>
      </c>
      <c r="S41">
        <f t="shared" si="6"/>
        <v>0.46807560211875104</v>
      </c>
      <c r="T41">
        <f>C40*EXP(RATES!O42)*(DATA!$B$6-DATA!$B$12)</f>
        <v>189.82156772712528</v>
      </c>
      <c r="U41">
        <f>B40*EXP(RATES!O42)*(DATA!$B$6-DATA!$B$12)</f>
        <v>759.28627090850114</v>
      </c>
      <c r="V41">
        <f t="shared" si="7"/>
        <v>949.10783863562642</v>
      </c>
      <c r="W41">
        <f t="shared" si="8"/>
        <v>9.6084531945518897E-3</v>
      </c>
      <c r="X41">
        <f>W41*BASE!Q41</f>
        <v>3.4777982739889204E-3</v>
      </c>
    </row>
    <row r="42" spans="1:24" x14ac:dyDescent="0.3">
      <c r="A42" s="6">
        <v>40</v>
      </c>
      <c r="B42">
        <f>B41*EXP(RATES!O43)*(1-DATA!$B$6)</f>
        <v>93686.981367791916</v>
      </c>
      <c r="C42">
        <f>C41*EXP(RATES!O43)*(1-DATA!$B$6)</f>
        <v>23421.745341947979</v>
      </c>
      <c r="D42">
        <f t="shared" si="1"/>
        <v>117108.72670973989</v>
      </c>
      <c r="E42">
        <f>E41*(1-'LIFE TABLE MALE'!D102/1000*1.15)</f>
        <v>3.0765317551268178E-3</v>
      </c>
      <c r="F42">
        <f t="shared" si="2"/>
        <v>1.5023012498914326E-3</v>
      </c>
      <c r="G42">
        <f t="shared" si="0"/>
        <v>117088.72670973989</v>
      </c>
      <c r="H42">
        <f>MAX(D42,DATA!$B$3)</f>
        <v>117108.72670973989</v>
      </c>
      <c r="I42">
        <f>G42*DATA!$B$7*F41*E42</f>
        <v>9.5500544401277768E-2</v>
      </c>
      <c r="J42">
        <f>H42*'LIFE TABLE MALE'!D102/1000*1.15*F41*E41</f>
        <v>0.54879088967530332</v>
      </c>
      <c r="K42">
        <f>0</f>
        <v>0</v>
      </c>
      <c r="L42" s="43">
        <f>DATA!$B$8*((1+DATA!$B$9)^A41)*F42*E42</f>
        <v>5.0025925699531844E-4</v>
      </c>
      <c r="M42">
        <f>B41*EXP(RATES!O43)*(DATA!$B$12)</f>
        <v>1341.122432667778</v>
      </c>
      <c r="N42">
        <f>C41*EXP(RATES!O43)*(DATA!$B$12)</f>
        <v>335.28060816694449</v>
      </c>
      <c r="O42">
        <f t="shared" si="3"/>
        <v>1676.4030408347226</v>
      </c>
      <c r="P42">
        <f t="shared" si="4"/>
        <v>7.7481294971387185E-3</v>
      </c>
      <c r="Q42">
        <f>RATES!G43</f>
        <v>0.35072355328981947</v>
      </c>
      <c r="R42" s="46">
        <f t="shared" si="5"/>
        <v>0.6525398228307151</v>
      </c>
      <c r="S42">
        <f t="shared" si="6"/>
        <v>0.22886108532629765</v>
      </c>
      <c r="T42">
        <f>C41*EXP(RATES!O43)*(DATA!$B$6-DATA!$B$12)</f>
        <v>191.58891895253967</v>
      </c>
      <c r="U42">
        <f>B41*EXP(RATES!O43)*(DATA!$B$6-DATA!$B$12)</f>
        <v>766.35567581015869</v>
      </c>
      <c r="V42">
        <f t="shared" si="7"/>
        <v>957.94459476269833</v>
      </c>
      <c r="W42">
        <f t="shared" si="8"/>
        <v>4.4275025697935524E-3</v>
      </c>
      <c r="X42">
        <f>W42*BASE!Q42</f>
        <v>1.5528294334778015E-3</v>
      </c>
    </row>
    <row r="43" spans="1:24" x14ac:dyDescent="0.3">
      <c r="A43" s="5">
        <v>41</v>
      </c>
      <c r="B43">
        <f>B42*EXP(RATES!O44)*(1-DATA!$B$6)</f>
        <v>94547.223145914031</v>
      </c>
      <c r="C43">
        <f>C42*EXP(RATES!O44)*(1-DATA!$B$6)</f>
        <v>23636.805786478508</v>
      </c>
      <c r="D43">
        <f t="shared" si="1"/>
        <v>118184.02893239254</v>
      </c>
      <c r="E43">
        <f>E42*(1-'LIFE TABLE MALE'!D103/1000*1.15)</f>
        <v>1.5403359634880245E-3</v>
      </c>
      <c r="F43">
        <f t="shared" si="2"/>
        <v>1.2769560624077175E-3</v>
      </c>
      <c r="G43">
        <f t="shared" si="0"/>
        <v>118164.02893239254</v>
      </c>
      <c r="H43">
        <f>MAX(D43,DATA!$B$3)</f>
        <v>118184.02893239254</v>
      </c>
      <c r="I43">
        <f>G43*DATA!$B$7*F42*E43</f>
        <v>4.1015596623921159E-2</v>
      </c>
      <c r="J43">
        <f>H43*'LIFE TABLE MALE'!D103/1000*1.15*F42*E42</f>
        <v>0.27274851250797238</v>
      </c>
      <c r="K43">
        <f>0</f>
        <v>0</v>
      </c>
      <c r="L43" s="43">
        <f>DATA!$B$8*((1+DATA!$B$9)^A42)*F43*E43</f>
        <v>2.171542254781621E-4</v>
      </c>
      <c r="M43">
        <f>B42*EXP(RATES!O44)*(DATA!$B$12)</f>
        <v>1353.4367321500988</v>
      </c>
      <c r="N43">
        <f>C42*EXP(RATES!O44)*(DATA!$B$12)</f>
        <v>338.3591830375247</v>
      </c>
      <c r="O43">
        <f t="shared" si="3"/>
        <v>1691.7959151876235</v>
      </c>
      <c r="P43">
        <f t="shared" si="4"/>
        <v>3.3276633357956654E-3</v>
      </c>
      <c r="Q43">
        <f>RATES!G44</f>
        <v>0.33988676611542612</v>
      </c>
      <c r="R43" s="46">
        <f t="shared" si="5"/>
        <v>0.3173089266931674</v>
      </c>
      <c r="S43">
        <f t="shared" si="6"/>
        <v>0.10784910495329748</v>
      </c>
      <c r="T43">
        <f>C42*EXP(RATES!O44)*(DATA!$B$6-DATA!$B$12)</f>
        <v>193.34810459287121</v>
      </c>
      <c r="U43">
        <f>B42*EXP(RATES!O44)*(DATA!$B$6-DATA!$B$12)</f>
        <v>773.39241837148484</v>
      </c>
      <c r="V43">
        <f t="shared" si="7"/>
        <v>966.74052296435605</v>
      </c>
      <c r="W43">
        <f t="shared" si="8"/>
        <v>1.9015219061689511E-3</v>
      </c>
      <c r="X43">
        <f>W43*BASE!Q43</f>
        <v>6.4630213138540556E-4</v>
      </c>
    </row>
    <row r="44" spans="1:24" x14ac:dyDescent="0.3">
      <c r="A44" s="5">
        <v>42</v>
      </c>
      <c r="B44">
        <f>B43*EXP(RATES!O45)*(1-DATA!$B$6)</f>
        <v>95439.467610481792</v>
      </c>
      <c r="C44">
        <f>C43*EXP(RATES!O45)*(1-DATA!$B$6)</f>
        <v>23859.866902620448</v>
      </c>
      <c r="D44">
        <f t="shared" si="1"/>
        <v>119299.33451310224</v>
      </c>
      <c r="E44">
        <f>E43*(1-'LIFE TABLE MALE'!D104/1000*1.15)</f>
        <v>6.9911327957551022E-4</v>
      </c>
      <c r="F44">
        <f t="shared" si="2"/>
        <v>1.08541265304656E-3</v>
      </c>
      <c r="G44">
        <f t="shared" si="0"/>
        <v>119279.33451310224</v>
      </c>
      <c r="H44">
        <f>MAX(D44,DATA!$B$3)</f>
        <v>119299.33451310224</v>
      </c>
      <c r="I44">
        <f>G44*DATA!$B$7*F43*E44</f>
        <v>1.597276022664415E-2</v>
      </c>
      <c r="J44">
        <f>H44*'LIFE TABLE MALE'!D104/1000*1.15*F43*E43</f>
        <v>0.12815187077363951</v>
      </c>
      <c r="K44">
        <f>0</f>
        <v>0</v>
      </c>
      <c r="L44" s="43">
        <f>DATA!$B$8*((1+DATA!$B$9)^A43)*F44*E44</f>
        <v>8.5451458189818869E-5</v>
      </c>
      <c r="M44">
        <f>B43*EXP(RATES!O45)*(DATA!$B$12)</f>
        <v>1366.2091477983079</v>
      </c>
      <c r="N44">
        <f>C43*EXP(RATES!O45)*(DATA!$B$12)</f>
        <v>341.55228694957697</v>
      </c>
      <c r="O44">
        <f t="shared" si="3"/>
        <v>1707.7614347478848</v>
      </c>
      <c r="P44">
        <f t="shared" si="4"/>
        <v>1.2958944608442205E-3</v>
      </c>
      <c r="Q44">
        <f>RATES!G45</f>
        <v>0.32930162970189214</v>
      </c>
      <c r="R44" s="46">
        <f t="shared" si="5"/>
        <v>0.14550597691931771</v>
      </c>
      <c r="S44">
        <f t="shared" si="6"/>
        <v>4.7915355330897226E-2</v>
      </c>
      <c r="T44">
        <f>C43*EXP(RATES!O45)*(DATA!$B$6-DATA!$B$12)</f>
        <v>195.17273539975824</v>
      </c>
      <c r="U44">
        <f>B43*EXP(RATES!O45)*(DATA!$B$6-DATA!$B$12)</f>
        <v>780.69094159903295</v>
      </c>
      <c r="V44">
        <f t="shared" si="7"/>
        <v>975.86367699879122</v>
      </c>
      <c r="W44">
        <f t="shared" si="8"/>
        <v>7.4051112048241171E-4</v>
      </c>
      <c r="X44">
        <f>W44*BASE!Q44</f>
        <v>2.4385151878723236E-4</v>
      </c>
    </row>
    <row r="45" spans="1:24" x14ac:dyDescent="0.3">
      <c r="A45" s="5">
        <v>43</v>
      </c>
      <c r="B45">
        <f>B44*EXP(RATES!O46)*(1-DATA!$B$6)</f>
        <v>96364.465078835521</v>
      </c>
      <c r="C45">
        <f>C44*EXP(RATES!O46)*(1-DATA!$B$6)</f>
        <v>24091.11626970888</v>
      </c>
      <c r="D45">
        <f t="shared" si="1"/>
        <v>120455.58134854439</v>
      </c>
      <c r="E45">
        <f>E44*(1-'LIFE TABLE MALE'!D105/1000*1.15)</f>
        <v>2.8945282631785219E-4</v>
      </c>
      <c r="F45">
        <f t="shared" si="2"/>
        <v>9.2260075508957592E-4</v>
      </c>
      <c r="G45">
        <f t="shared" si="0"/>
        <v>120435.58134854439</v>
      </c>
      <c r="H45">
        <f>MAX(D45,DATA!$B$3)</f>
        <v>120455.58134854439</v>
      </c>
      <c r="I45">
        <f>G45*DATA!$B$7*F44*E45</f>
        <v>5.6756910478113513E-3</v>
      </c>
      <c r="J45">
        <f>H45*'LIFE TABLE MALE'!D105/1000*1.15*F44*E44</f>
        <v>5.356065126817558E-2</v>
      </c>
      <c r="K45">
        <f>0</f>
        <v>0</v>
      </c>
      <c r="L45" s="43">
        <f>DATA!$B$8*((1+DATA!$B$9)^A44)*F45*E45</f>
        <v>3.067388737001862E-5</v>
      </c>
      <c r="M45">
        <f>B44*EXP(RATES!O46)*(DATA!$B$12)</f>
        <v>1379.4504203514286</v>
      </c>
      <c r="N45">
        <f>C44*EXP(RATES!O46)*(DATA!$B$12)</f>
        <v>344.86260508785716</v>
      </c>
      <c r="O45">
        <f t="shared" si="3"/>
        <v>1724.3130254392859</v>
      </c>
      <c r="P45">
        <f t="shared" si="4"/>
        <v>4.6047675217172646E-4</v>
      </c>
      <c r="Q45">
        <f>RATES!G46</f>
        <v>0.3189655855815991</v>
      </c>
      <c r="R45" s="46">
        <f t="shared" si="5"/>
        <v>5.972749295552867E-2</v>
      </c>
      <c r="S45">
        <f t="shared" si="6"/>
        <v>1.9051014765881037E-2</v>
      </c>
      <c r="T45">
        <f>C44*EXP(RATES!O46)*(DATA!$B$6-DATA!$B$12)</f>
        <v>197.06434576448979</v>
      </c>
      <c r="U45">
        <f>B44*EXP(RATES!O46)*(DATA!$B$6-DATA!$B$12)</f>
        <v>788.25738305795915</v>
      </c>
      <c r="V45">
        <f t="shared" si="7"/>
        <v>985.3217288224489</v>
      </c>
      <c r="W45">
        <f t="shared" si="8"/>
        <v>2.631295726695579E-4</v>
      </c>
      <c r="X45">
        <f>W45*BASE!Q45</f>
        <v>8.3929278230381472E-5</v>
      </c>
    </row>
    <row r="46" spans="1:24" x14ac:dyDescent="0.3">
      <c r="A46" s="5">
        <v>44</v>
      </c>
      <c r="B46">
        <f>B45*EXP(RATES!O47)*(1-DATA!$B$6)</f>
        <v>97281.312696218753</v>
      </c>
      <c r="C46">
        <f>C45*EXP(RATES!O47)*(1-DATA!$B$6)</f>
        <v>24320.328174054688</v>
      </c>
      <c r="D46">
        <f t="shared" si="1"/>
        <v>121601.64087027343</v>
      </c>
      <c r="E46">
        <f>E45*(1-'LIFE TABLE MALE'!D106/1000*1.15)</f>
        <v>1.0822787060248959E-4</v>
      </c>
      <c r="F46">
        <f t="shared" si="2"/>
        <v>7.8421064182613946E-4</v>
      </c>
      <c r="G46">
        <f t="shared" si="0"/>
        <v>121581.64087027343</v>
      </c>
      <c r="H46">
        <f>MAX(D46,DATA!$B$3)</f>
        <v>121601.64087027343</v>
      </c>
      <c r="I46">
        <f>G46*DATA!$B$7*F45*E46</f>
        <v>1.8210093632097623E-3</v>
      </c>
      <c r="J46">
        <f>H46*'LIFE TABLE MALE'!D106/1000*1.15*F45*E45</f>
        <v>2.0331585318351764E-2</v>
      </c>
      <c r="K46">
        <f>0</f>
        <v>0</v>
      </c>
      <c r="L46" s="43">
        <f>DATA!$B$8*((1+DATA!$B$9)^A45)*F46*E46</f>
        <v>9.9437279798646793E-6</v>
      </c>
      <c r="M46">
        <f>B45*EXP(RATES!O47)*(DATA!$B$12)</f>
        <v>1392.5750283712298</v>
      </c>
      <c r="N46">
        <f>C45*EXP(RATES!O47)*(DATA!$B$12)</f>
        <v>348.14375709280745</v>
      </c>
      <c r="O46">
        <f t="shared" si="3"/>
        <v>1740.7187854640372</v>
      </c>
      <c r="P46">
        <f t="shared" si="4"/>
        <v>1.4774080509206993E-4</v>
      </c>
      <c r="Q46">
        <f>RATES!G47</f>
        <v>0.30900832177573956</v>
      </c>
      <c r="R46" s="46">
        <f t="shared" si="5"/>
        <v>2.2310279214633463E-2</v>
      </c>
      <c r="S46">
        <f t="shared" si="6"/>
        <v>6.8940619384620511E-3</v>
      </c>
      <c r="T46">
        <f>C45*EXP(RATES!O47)*(DATA!$B$6-DATA!$B$12)</f>
        <v>198.93928976731848</v>
      </c>
      <c r="U46">
        <f>B45*EXP(RATES!O47)*(DATA!$B$6-DATA!$B$12)</f>
        <v>795.75715906927394</v>
      </c>
      <c r="V46">
        <f t="shared" si="7"/>
        <v>994.69644883659248</v>
      </c>
      <c r="W46">
        <f t="shared" si="8"/>
        <v>8.4423317195468514E-5</v>
      </c>
      <c r="X46">
        <f>W46*BASE!Q46</f>
        <v>2.6087507565312662E-5</v>
      </c>
    </row>
    <row r="47" spans="1:24" x14ac:dyDescent="0.3">
      <c r="A47" s="6">
        <v>45</v>
      </c>
      <c r="B47">
        <f>B46*EXP(RATES!O48)*(1-DATA!$B$6)</f>
        <v>98229.776108477323</v>
      </c>
      <c r="C47">
        <f>C46*EXP(RATES!O48)*(1-DATA!$B$6)</f>
        <v>24557.444027119331</v>
      </c>
      <c r="D47">
        <f t="shared" si="1"/>
        <v>122787.22013559665</v>
      </c>
      <c r="E47">
        <f>E46*(1-'LIFE TABLE MALE'!D107/1000*1.15)</f>
        <v>3.6134195763781965E-5</v>
      </c>
      <c r="F47">
        <f t="shared" si="2"/>
        <v>6.6657904555221851E-4</v>
      </c>
      <c r="G47">
        <f t="shared" si="0"/>
        <v>122767.22013559665</v>
      </c>
      <c r="H47">
        <f>MAX(D47,DATA!$B$3)</f>
        <v>122787.22013559665</v>
      </c>
      <c r="I47">
        <f>G47*DATA!$B$7*F46*E47</f>
        <v>5.2182490851814174E-4</v>
      </c>
      <c r="J47">
        <f>H47*'LIFE TABLE MALE'!D107/1000*1.15*F46*E46</f>
        <v>6.9419752672442801E-3</v>
      </c>
      <c r="K47">
        <f>0</f>
        <v>0</v>
      </c>
      <c r="L47" s="43">
        <f>DATA!$B$8*((1+DATA!$B$9)^A46)*F47*E47</f>
        <v>2.8783765782666373E-6</v>
      </c>
      <c r="M47">
        <f>B46*EXP(RATES!O48)*(DATA!$B$12)</f>
        <v>1406.1522142317817</v>
      </c>
      <c r="N47">
        <f>C46*EXP(RATES!O48)*(DATA!$B$12)</f>
        <v>351.53805355794543</v>
      </c>
      <c r="O47">
        <f t="shared" si="3"/>
        <v>1757.6902677897272</v>
      </c>
      <c r="P47">
        <f t="shared" si="4"/>
        <v>4.2336251096593695E-5</v>
      </c>
      <c r="Q47">
        <f>RATES!G48</f>
        <v>0.29929213083059769</v>
      </c>
      <c r="R47" s="46">
        <f t="shared" si="5"/>
        <v>7.5090148034372816E-3</v>
      </c>
      <c r="S47">
        <f t="shared" si="6"/>
        <v>2.2473890409592458E-3</v>
      </c>
      <c r="T47">
        <f>C46*EXP(RATES!O48)*(DATA!$B$6-DATA!$B$12)</f>
        <v>200.87888774739736</v>
      </c>
      <c r="U47">
        <f>B46*EXP(RATES!O48)*(DATA!$B$6-DATA!$B$12)</f>
        <v>803.51555098958943</v>
      </c>
      <c r="V47">
        <f t="shared" si="7"/>
        <v>1004.3944387369868</v>
      </c>
      <c r="W47">
        <f t="shared" si="8"/>
        <v>2.4192143483767824E-5</v>
      </c>
      <c r="X47">
        <f>W47*BASE!Q47</f>
        <v>7.2405181726164306E-6</v>
      </c>
    </row>
    <row r="48" spans="1:24" x14ac:dyDescent="0.3">
      <c r="A48" s="5">
        <v>46</v>
      </c>
      <c r="B48">
        <f>B47*EXP(RATES!O49)*(1-DATA!$B$6)</f>
        <v>99166.189047448002</v>
      </c>
      <c r="C48">
        <f>C47*EXP(RATES!O49)*(1-DATA!$B$6)</f>
        <v>24791.547261862001</v>
      </c>
      <c r="D48">
        <f t="shared" si="1"/>
        <v>123957.73630931</v>
      </c>
      <c r="E48">
        <f>E47*(1-'LIFE TABLE MALE'!D108/1000*1.15)</f>
        <v>1.0634750657918075E-5</v>
      </c>
      <c r="F48">
        <f t="shared" si="2"/>
        <v>5.665921887193857E-4</v>
      </c>
      <c r="G48">
        <f t="shared" si="0"/>
        <v>123937.73630931</v>
      </c>
      <c r="H48">
        <f>MAX(D48,DATA!$B$3)</f>
        <v>123957.73630931</v>
      </c>
      <c r="I48">
        <f>G48*DATA!$B$7*F47*E48</f>
        <v>1.317873689645911E-4</v>
      </c>
      <c r="J48">
        <f>H48*'LIFE TABLE MALE'!D108/1000*1.15*F47*E47</f>
        <v>2.1069587041386505E-3</v>
      </c>
      <c r="K48">
        <f>0</f>
        <v>0</v>
      </c>
      <c r="L48" s="43">
        <f>DATA!$B$8*((1+DATA!$B$9)^A47)*F48*E48</f>
        <v>7.3447265006519011E-7</v>
      </c>
      <c r="M48">
        <f>B47*EXP(RATES!O49)*(DATA!$B$12)</f>
        <v>1419.5568984297261</v>
      </c>
      <c r="N48">
        <f>C47*EXP(RATES!O49)*(DATA!$B$12)</f>
        <v>354.88922460743152</v>
      </c>
      <c r="O48">
        <f t="shared" si="3"/>
        <v>1774.4461230371576</v>
      </c>
      <c r="P48">
        <f t="shared" si="4"/>
        <v>1.0692043384308165E-5</v>
      </c>
      <c r="Q48">
        <f>RATES!G49</f>
        <v>0.28994370460990543</v>
      </c>
      <c r="R48" s="46">
        <f t="shared" si="5"/>
        <v>2.2501725891376149E-3</v>
      </c>
      <c r="S48">
        <f t="shared" si="6"/>
        <v>6.5242337650622275E-4</v>
      </c>
      <c r="T48">
        <f>C47*EXP(RATES!O49)*(DATA!$B$6-DATA!$B$12)</f>
        <v>202.79384263281796</v>
      </c>
      <c r="U48">
        <f>B47*EXP(RATES!O49)*(DATA!$B$6-DATA!$B$12)</f>
        <v>811.17537053127182</v>
      </c>
      <c r="V48">
        <f t="shared" si="7"/>
        <v>1013.9692131640898</v>
      </c>
      <c r="W48">
        <f t="shared" si="8"/>
        <v>6.109739076747521E-6</v>
      </c>
      <c r="X48">
        <f>W48*BASE!Q48</f>
        <v>1.7714803821120795E-6</v>
      </c>
    </row>
    <row r="49" spans="1:24" x14ac:dyDescent="0.3">
      <c r="A49" s="5">
        <v>47</v>
      </c>
      <c r="B49">
        <f>B48*EXP(RATES!O50)*(1-DATA!$B$6)</f>
        <v>100132.91784628085</v>
      </c>
      <c r="C49">
        <f>C48*EXP(RATES!O50)*(1-DATA!$B$6)</f>
        <v>25033.229461570212</v>
      </c>
      <c r="D49">
        <f t="shared" si="1"/>
        <v>125166.14730785106</v>
      </c>
      <c r="E49">
        <f>E48*(1-'LIFE TABLE MALE'!D109/1000*1.15)</f>
        <v>2.7182803990623433E-6</v>
      </c>
      <c r="F49">
        <f t="shared" si="2"/>
        <v>4.8160336041147783E-4</v>
      </c>
      <c r="G49">
        <f t="shared" si="0"/>
        <v>125146.14730785106</v>
      </c>
      <c r="H49">
        <f>MAX(D49,DATA!$B$3)</f>
        <v>125166.14730785106</v>
      </c>
      <c r="I49">
        <f>G49*DATA!$B$7*F48*E49</f>
        <v>2.8911696723707717E-5</v>
      </c>
      <c r="J49">
        <f>H49*'LIFE TABLE MALE'!D109/1000*1.15*F48*E48</f>
        <v>5.6142151519327193E-4</v>
      </c>
      <c r="K49">
        <f>0</f>
        <v>0</v>
      </c>
      <c r="L49" s="43">
        <f>DATA!$B$8*((1+DATA!$B$9)^A48)*F49*E49</f>
        <v>1.6276524171483889E-7</v>
      </c>
      <c r="M49">
        <f>B48*EXP(RATES!O50)*(DATA!$B$12)</f>
        <v>1433.3955519917506</v>
      </c>
      <c r="N49">
        <f>C48*EXP(RATES!O50)*(DATA!$B$12)</f>
        <v>358.34888799793765</v>
      </c>
      <c r="O49">
        <f t="shared" si="3"/>
        <v>1791.7444399896883</v>
      </c>
      <c r="P49">
        <f t="shared" si="4"/>
        <v>2.3456317286779854E-6</v>
      </c>
      <c r="Q49">
        <f>RATES!G50</f>
        <v>0.28082727798558355</v>
      </c>
      <c r="R49" s="46">
        <f t="shared" si="5"/>
        <v>5.9284160888737247E-4</v>
      </c>
      <c r="S49">
        <f t="shared" si="6"/>
        <v>1.6648609530043476E-4</v>
      </c>
      <c r="T49">
        <f>C48*EXP(RATES!O50)*(DATA!$B$6-DATA!$B$12)</f>
        <v>204.77079314167861</v>
      </c>
      <c r="U49">
        <f>B48*EXP(RATES!O50)*(DATA!$B$6-DATA!$B$12)</f>
        <v>819.08317256671444</v>
      </c>
      <c r="V49">
        <f t="shared" si="7"/>
        <v>1023.853965708393</v>
      </c>
      <c r="W49">
        <f t="shared" si="8"/>
        <v>1.3403609878159917E-6</v>
      </c>
      <c r="X49">
        <f>W49*BASE!Q49</f>
        <v>3.7640992772643284E-7</v>
      </c>
    </row>
    <row r="50" spans="1:24" x14ac:dyDescent="0.3">
      <c r="A50" s="5">
        <v>48</v>
      </c>
      <c r="B50">
        <f>B49*EXP(RATES!O51)*(1-DATA!$B$6)</f>
        <v>101130.66967745037</v>
      </c>
      <c r="C50">
        <f>C49*EXP(RATES!O51)*(1-DATA!$B$6)</f>
        <v>25282.667419362591</v>
      </c>
      <c r="D50">
        <f t="shared" si="1"/>
        <v>126413.33709681296</v>
      </c>
      <c r="E50">
        <f>E49*(1-'LIFE TABLE MALE'!D110/1000*1.15)</f>
        <v>5.9287234593911668E-7</v>
      </c>
      <c r="F50">
        <f t="shared" si="2"/>
        <v>4.0936285634975616E-4</v>
      </c>
      <c r="G50">
        <f t="shared" si="0"/>
        <v>126393.33709681296</v>
      </c>
      <c r="H50">
        <f>MAX(D50,DATA!$B$3)</f>
        <v>126413.33709681296</v>
      </c>
      <c r="I50">
        <f>G50*DATA!$B$7*F49*E50</f>
        <v>5.4133504271964722E-6</v>
      </c>
      <c r="J50">
        <f>H50*'LIFE TABLE MALE'!D110/1000*1.15*F49*E49</f>
        <v>1.2939715460472196E-4</v>
      </c>
      <c r="K50">
        <f>0</f>
        <v>0</v>
      </c>
      <c r="L50" s="43">
        <f>DATA!$B$8*((1+DATA!$B$9)^A49)*F50*E50</f>
        <v>3.0778518029095892E-8</v>
      </c>
      <c r="M50">
        <f>B49*EXP(RATES!O51)*(DATA!$B$12)</f>
        <v>1447.678298041212</v>
      </c>
      <c r="N50">
        <f>C49*EXP(RATES!O51)*(DATA!$B$12)</f>
        <v>361.91957451030299</v>
      </c>
      <c r="O50">
        <f t="shared" si="3"/>
        <v>1809.5978725515149</v>
      </c>
      <c r="P50">
        <f t="shared" si="4"/>
        <v>4.3918925344343127E-7</v>
      </c>
      <c r="Q50">
        <f>RATES!G51</f>
        <v>0.27193939918145021</v>
      </c>
      <c r="R50" s="46">
        <f t="shared" si="5"/>
        <v>1.3528047280339097E-4</v>
      </c>
      <c r="S50">
        <f t="shared" si="6"/>
        <v>3.6788090495136654E-5</v>
      </c>
      <c r="T50">
        <f>C49*EXP(RATES!O51)*(DATA!$B$6-DATA!$B$12)</f>
        <v>206.81118543445879</v>
      </c>
      <c r="U50">
        <f>B49*EXP(RATES!O51)*(DATA!$B$6-DATA!$B$12)</f>
        <v>827.24474173783517</v>
      </c>
      <c r="V50">
        <f t="shared" si="7"/>
        <v>1034.0559271722939</v>
      </c>
      <c r="W50">
        <f t="shared" si="8"/>
        <v>2.5096528768196066E-7</v>
      </c>
      <c r="X50">
        <f>W50*BASE!Q50</f>
        <v>6.8247349547632196E-8</v>
      </c>
    </row>
    <row r="51" spans="1:24" x14ac:dyDescent="0.3">
      <c r="A51" s="5">
        <v>49</v>
      </c>
      <c r="B51">
        <f>B50*EXP(RATES!O52)*(1-DATA!$B$6)</f>
        <v>102111.47643077932</v>
      </c>
      <c r="C51">
        <f>C50*EXP(RATES!O52)*(1-DATA!$B$6)</f>
        <v>25527.869107694831</v>
      </c>
      <c r="D51">
        <f t="shared" si="1"/>
        <v>127639.34553847415</v>
      </c>
      <c r="E51">
        <f>E50*(1-'LIFE TABLE MALE'!D111/1000*1.15)</f>
        <v>1.0798816132926663E-7</v>
      </c>
      <c r="F51">
        <f t="shared" si="2"/>
        <v>3.4795842789729273E-4</v>
      </c>
      <c r="G51">
        <f t="shared" si="0"/>
        <v>127619.34553847415</v>
      </c>
      <c r="H51">
        <f>MAX(D51,DATA!$B$3)</f>
        <v>127639.34553847415</v>
      </c>
      <c r="I51">
        <f>G51*DATA!$B$7*F50*E51</f>
        <v>8.4623766852874793E-7</v>
      </c>
      <c r="J51">
        <f>H51*'LIFE TABLE MALE'!D111/1000*1.15*F50*E50</f>
        <v>2.5335589982431267E-5</v>
      </c>
      <c r="K51">
        <f>0</f>
        <v>0</v>
      </c>
      <c r="L51" s="43">
        <f>DATA!$B$8*((1+DATA!$B$9)^A50)*F51*E51</f>
        <v>4.8605090442761859E-9</v>
      </c>
      <c r="M51">
        <f>B50*EXP(RATES!O52)*(DATA!$B$12)</f>
        <v>1461.7184765142235</v>
      </c>
      <c r="N51">
        <f>C50*EXP(RATES!O52)*(DATA!$B$12)</f>
        <v>365.42961912855588</v>
      </c>
      <c r="O51">
        <f t="shared" si="3"/>
        <v>1827.1480956427795</v>
      </c>
      <c r="P51">
        <f t="shared" si="4"/>
        <v>6.8655803830318356E-8</v>
      </c>
      <c r="Q51">
        <f>RATES!G52</f>
        <v>0.26340215020802832</v>
      </c>
      <c r="R51" s="46">
        <f t="shared" si="5"/>
        <v>2.6255343963834606E-5</v>
      </c>
      <c r="S51">
        <f t="shared" si="6"/>
        <v>6.9157140545254129E-6</v>
      </c>
      <c r="T51">
        <f>C50*EXP(RATES!O52)*(DATA!$B$6-DATA!$B$12)</f>
        <v>208.8169252163176</v>
      </c>
      <c r="U51">
        <f>B50*EXP(RATES!O52)*(DATA!$B$6-DATA!$B$12)</f>
        <v>835.2677008652704</v>
      </c>
      <c r="V51">
        <f t="shared" si="7"/>
        <v>1044.0846260815879</v>
      </c>
      <c r="W51">
        <f t="shared" si="8"/>
        <v>3.9231887903039041E-8</v>
      </c>
      <c r="X51">
        <f>W51*BASE!Q51</f>
        <v>1.0333763630380818E-8</v>
      </c>
    </row>
    <row r="52" spans="1:24" x14ac:dyDescent="0.3">
      <c r="A52" s="6">
        <v>50</v>
      </c>
      <c r="B52">
        <f>B51*EXP(RATES!O53)*(1-DATA!$B$6)</f>
        <v>103171.99920404634</v>
      </c>
      <c r="C52">
        <f>C51*EXP(RATES!O53)*(1-DATA!$B$6)</f>
        <v>25792.999801011585</v>
      </c>
      <c r="D52">
        <f t="shared" si="1"/>
        <v>128964.99900505792</v>
      </c>
      <c r="E52">
        <f>E51*(1-'LIFE TABLE MALE'!D112/1000*1.15)</f>
        <v>1.5983311560120566E-8</v>
      </c>
      <c r="F52">
        <f t="shared" si="2"/>
        <v>2.957646637126988E-4</v>
      </c>
      <c r="G52">
        <f t="shared" si="0"/>
        <v>128944.99900505792</v>
      </c>
      <c r="H52">
        <f>MAX(D52,DATA!$B$3)</f>
        <v>128964.99900505792</v>
      </c>
      <c r="I52">
        <f>G52*DATA!$B$7*F51*E52</f>
        <v>1.075696826493547E-7</v>
      </c>
      <c r="J52">
        <f>H52*'LIFE TABLE MALE'!D112/1000*1.15*F51*E51</f>
        <v>4.1286677950603275E-6</v>
      </c>
      <c r="K52">
        <f>E52*D52*F52</f>
        <v>6.0965608098838188E-7</v>
      </c>
      <c r="L52" s="43">
        <f>DATA!$B$8*((1+DATA!$B$9)^A51)*F52*E52</f>
        <v>6.2372258702955611E-10</v>
      </c>
      <c r="M52">
        <f>B51*EXP(RATES!O53)*(DATA!$B$12)</f>
        <v>1476.8997841070029</v>
      </c>
      <c r="N52">
        <f>C51*EXP(RATES!O53)*(DATA!$B$12)</f>
        <v>369.22494602675073</v>
      </c>
      <c r="O52">
        <f t="shared" si="3"/>
        <v>1846.1247301337537</v>
      </c>
      <c r="P52">
        <f t="shared" si="4"/>
        <v>8.7271831634328712E-9</v>
      </c>
      <c r="Q52">
        <f>RATES!G53</f>
        <v>0.25495931300893881</v>
      </c>
      <c r="R52" s="46">
        <f t="shared" si="5"/>
        <v>4.855244464448526E-6</v>
      </c>
      <c r="S52">
        <f t="shared" si="6"/>
        <v>1.2378897931462493E-6</v>
      </c>
      <c r="T52">
        <f>C51*EXP(RATES!O53)*(DATA!$B$6-DATA!$B$12)</f>
        <v>210.98568344385751</v>
      </c>
      <c r="U52">
        <f>B51*EXP(RATES!O53)*(DATA!$B$6-DATA!$B$12)</f>
        <v>843.94273377543004</v>
      </c>
      <c r="V52">
        <f>T52+U52</f>
        <v>1054.9284172192874</v>
      </c>
      <c r="W52">
        <f t="shared" si="8"/>
        <v>4.9869618076759247E-9</v>
      </c>
      <c r="X52">
        <f>W52*BASE!Q52</f>
        <v>1.2714723564868694E-9</v>
      </c>
    </row>
    <row r="56" spans="1:24" x14ac:dyDescent="0.3">
      <c r="P56" s="52" t="s">
        <v>56</v>
      </c>
      <c r="Q56" s="47">
        <f>SUM(S3:S52)</f>
        <v>94522.922496849118</v>
      </c>
      <c r="T56" s="56" t="s">
        <v>59</v>
      </c>
    </row>
    <row r="57" spans="1:24" x14ac:dyDescent="0.3">
      <c r="P57" s="54" t="s">
        <v>57</v>
      </c>
      <c r="Q57" s="48">
        <f>DATA!B2-Q56</f>
        <v>5477.077503150882</v>
      </c>
      <c r="T57" s="52" t="s">
        <v>60</v>
      </c>
      <c r="U57" s="47">
        <f>SUMPRODUCT(J3:J52,Q3:Q52)</f>
        <v>7246.6768298811612</v>
      </c>
    </row>
    <row r="58" spans="1:24" x14ac:dyDescent="0.3">
      <c r="T58" s="53" t="s">
        <v>61</v>
      </c>
      <c r="U58" s="50">
        <f>SUMPRODUCT(I3:I52,Q3:Q52)</f>
        <v>80499.870262811019</v>
      </c>
    </row>
    <row r="59" spans="1:24" x14ac:dyDescent="0.3">
      <c r="P59" s="55" t="s">
        <v>58</v>
      </c>
      <c r="Q59" s="49">
        <f>SUMPRODUCT(S3:S52,A3:A52)/SUM(S3:S52)</f>
        <v>5.5723484442193136</v>
      </c>
      <c r="T59" s="53" t="s">
        <v>47</v>
      </c>
      <c r="U59" s="51">
        <f>SUMPRODUCT(L3:L52,Q3:Q52)</f>
        <v>245.10872422717978</v>
      </c>
    </row>
    <row r="60" spans="1:24" x14ac:dyDescent="0.3">
      <c r="T60" s="54" t="s">
        <v>48</v>
      </c>
      <c r="U60" s="48">
        <f>SUMPRODUCT(P3:P52,Q3:Q52)</f>
        <v>6531.2666797742668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32F3D-9281-413B-91E3-F7AE83D05C91}">
  <dimension ref="A1:X60"/>
  <sheetViews>
    <sheetView zoomScale="93" workbookViewId="0">
      <selection activeCell="P61" sqref="P61:Q63"/>
    </sheetView>
  </sheetViews>
  <sheetFormatPr defaultColWidth="11.19921875" defaultRowHeight="15.6" x14ac:dyDescent="0.3"/>
  <cols>
    <col min="5" max="5" width="17.796875" customWidth="1"/>
    <col min="6" max="6" width="21.296875" customWidth="1"/>
    <col min="7" max="7" width="13.5" customWidth="1"/>
    <col min="8" max="8" width="11.296875" bestFit="1" customWidth="1"/>
    <col min="9" max="10" width="12.296875" bestFit="1" customWidth="1"/>
    <col min="11" max="11" width="17" customWidth="1"/>
    <col min="12" max="13" width="11.296875" bestFit="1" customWidth="1"/>
    <col min="14" max="14" width="16.296875" bestFit="1" customWidth="1"/>
    <col min="15" max="15" width="11.296875" bestFit="1" customWidth="1"/>
    <col min="16" max="16" width="12.296875" bestFit="1" customWidth="1"/>
    <col min="17" max="18" width="11.296875" bestFit="1" customWidth="1"/>
    <col min="19" max="19" width="12.796875" bestFit="1" customWidth="1"/>
    <col min="20" max="22" width="11.296875" bestFit="1" customWidth="1"/>
    <col min="23" max="23" width="11.796875" bestFit="1" customWidth="1"/>
  </cols>
  <sheetData>
    <row r="1" spans="1:24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  <c r="X1" s="9" t="s">
        <v>104</v>
      </c>
    </row>
    <row r="2" spans="1:24" x14ac:dyDescent="0.3">
      <c r="A2" s="41">
        <v>0</v>
      </c>
      <c r="B2">
        <f>DATA!B2*0.8</f>
        <v>80000</v>
      </c>
      <c r="C2">
        <f>DATA!B2*0.2</f>
        <v>20000</v>
      </c>
      <c r="D2">
        <f>B2+C2</f>
        <v>100000</v>
      </c>
      <c r="E2">
        <f>1</f>
        <v>1</v>
      </c>
      <c r="F2">
        <f>1</f>
        <v>1</v>
      </c>
      <c r="G2">
        <f>D2-20</f>
        <v>99980</v>
      </c>
      <c r="H2">
        <f>MAX(D2,DATA!$B$3)</f>
        <v>100000</v>
      </c>
      <c r="M2">
        <f>B2</f>
        <v>80000</v>
      </c>
      <c r="N2">
        <f>C2</f>
        <v>20000</v>
      </c>
      <c r="Q2">
        <f>RATES!G3</f>
        <v>1</v>
      </c>
    </row>
    <row r="3" spans="1:24" x14ac:dyDescent="0.3">
      <c r="A3" s="5">
        <v>1</v>
      </c>
      <c r="B3">
        <f>B2*EXP(RATES!O4)*(1-DATA!$B$6)</f>
        <v>80989.353600000002</v>
      </c>
      <c r="C3">
        <f>C2*EXP(RATES!O4)*(1-DATA!$B$6)</f>
        <v>20247.338400000001</v>
      </c>
      <c r="D3">
        <f>B3+C3</f>
        <v>101236.69200000001</v>
      </c>
      <c r="E3">
        <f>E2*(1-'LIFE TABLE MALE'!D63/1000-0.0015)</f>
        <v>0.99203213000000001</v>
      </c>
      <c r="F3">
        <f>F2*(1-0.15)</f>
        <v>0.85</v>
      </c>
      <c r="G3">
        <f t="shared" ref="G3:G52" si="0">D3-20</f>
        <v>101216.69200000001</v>
      </c>
      <c r="H3">
        <f>MAX(D3,DATA!$B$3)</f>
        <v>101236.69200000001</v>
      </c>
      <c r="I3">
        <f>G3*DATA!$B$7*F2*E3</f>
        <v>15061.531583447095</v>
      </c>
      <c r="J3">
        <f>H3*('LIFE TABLE MALE'!D63/1000+0.0015)*F2*E2</f>
        <v>806.64080108604014</v>
      </c>
      <c r="K3">
        <f>0</f>
        <v>0</v>
      </c>
      <c r="L3" s="43">
        <f>DATA!$B$8*((1+DATA!$B$9)^A2)*F3*E3</f>
        <v>42.161365525000001</v>
      </c>
      <c r="M3">
        <f>B2*EXP(RATES!O4)*(DATA!$B$12)</f>
        <v>1159.3568</v>
      </c>
      <c r="N3">
        <f>C2*EXP(RATES!O4)*(DATA!$B$12)</f>
        <v>289.83920000000001</v>
      </c>
      <c r="O3">
        <f>M3+N3</f>
        <v>1449.1959999999999</v>
      </c>
      <c r="P3">
        <f>O3*E3*F3</f>
        <v>1222.0016454673578</v>
      </c>
      <c r="Q3">
        <f>RATES!G4</f>
        <v>0.96605290105686192</v>
      </c>
      <c r="R3" s="43">
        <f>P3+L3+K3+J3+I3</f>
        <v>17132.335395525493</v>
      </c>
      <c r="S3">
        <f>R3*Q3</f>
        <v>16550.742310726564</v>
      </c>
      <c r="T3">
        <f>C2*EXP(RATES!O4)*(DATA!$B$6-DATA!$B$12)</f>
        <v>165.62239999999997</v>
      </c>
      <c r="U3">
        <f>B2*EXP(RATES!O4)*(DATA!$B$6-DATA!$B$12)</f>
        <v>662.48959999999988</v>
      </c>
      <c r="V3">
        <f>T3+U3</f>
        <v>828.11199999999985</v>
      </c>
      <c r="W3">
        <f>V3*E3*F3</f>
        <v>698.28665455277587</v>
      </c>
      <c r="X3">
        <f>W3*BASE!Q3</f>
        <v>674.5818483999999</v>
      </c>
    </row>
    <row r="4" spans="1:24" x14ac:dyDescent="0.3">
      <c r="A4" s="5">
        <v>2</v>
      </c>
      <c r="B4">
        <f>B3*EXP(RATES!O5)*(1-DATA!$B$6)</f>
        <v>81233.889418663224</v>
      </c>
      <c r="C4">
        <f>C3*EXP(RATES!O5)*(1-DATA!$B$6)</f>
        <v>20308.472354665806</v>
      </c>
      <c r="D4">
        <f t="shared" ref="D4:D52" si="1">B4+C4</f>
        <v>101542.36177332903</v>
      </c>
      <c r="E4">
        <f>E3*(1-'LIFE TABLE MALE'!D64/1000)</f>
        <v>0.98498844394864626</v>
      </c>
      <c r="F4">
        <f t="shared" ref="F4:F52" si="2">F3*(1-0.15)</f>
        <v>0.72249999999999992</v>
      </c>
      <c r="G4">
        <f t="shared" si="0"/>
        <v>101522.36177332903</v>
      </c>
      <c r="H4">
        <f>MAX(D4,DATA!$B$3)</f>
        <v>101542.36177332903</v>
      </c>
      <c r="I4">
        <f>G4*DATA!$B$7*F3*E4</f>
        <v>12749.790026510618</v>
      </c>
      <c r="J4">
        <f>H4*'LIFE TABLE MALE'!D64/1000*F3*E3</f>
        <v>607.94763965767106</v>
      </c>
      <c r="K4">
        <f>0</f>
        <v>0</v>
      </c>
      <c r="L4" s="43">
        <f>DATA!$B$8*((1+DATA!$B$9)^A3)*F4*E4</f>
        <v>36.294361688397743</v>
      </c>
      <c r="M4">
        <f>B3*EXP(RATES!O5)*(DATA!$B$12)</f>
        <v>1162.8573127416005</v>
      </c>
      <c r="N4">
        <f>C3*EXP(RATES!O5)*(DATA!$B$12)</f>
        <v>290.71432818540012</v>
      </c>
      <c r="O4">
        <f t="shared" ref="O4:O52" si="3">M4+N4</f>
        <v>1453.5716409270005</v>
      </c>
      <c r="P4">
        <f t="shared" ref="P4:P52" si="4">O4*E4*F4</f>
        <v>1034.4402916823992</v>
      </c>
      <c r="Q4">
        <f>RATES!G5</f>
        <v>0.94195563634332236</v>
      </c>
      <c r="R4" s="43">
        <f t="shared" ref="R4:R52" si="5">P4+L4+K4+J4+I4</f>
        <v>14428.472319539087</v>
      </c>
      <c r="S4">
        <f t="shared" ref="S4:S52" si="6">R4*Q4</f>
        <v>13590.980825213453</v>
      </c>
      <c r="T4">
        <f>C3*EXP(RATES!O5)*(DATA!$B$6-DATA!$B$12)</f>
        <v>166.12247324880002</v>
      </c>
      <c r="U4">
        <f>B3*EXP(RATES!O5)*(DATA!$B$6-DATA!$B$12)</f>
        <v>664.48989299520008</v>
      </c>
      <c r="V4">
        <f t="shared" ref="V4:V51" si="7">T4+U4</f>
        <v>830.6123662440001</v>
      </c>
      <c r="W4">
        <f t="shared" ref="W4:W52" si="8">V4*E4*F4</f>
        <v>591.108738104228</v>
      </c>
      <c r="X4">
        <f>W4*BASE!Q4</f>
        <v>556.79820754906632</v>
      </c>
    </row>
    <row r="5" spans="1:24" x14ac:dyDescent="0.3">
      <c r="A5" s="5">
        <v>3</v>
      </c>
      <c r="B5">
        <f>B4*EXP(RATES!O6)*(1-DATA!$B$6)</f>
        <v>81258.802918728528</v>
      </c>
      <c r="C5">
        <f>C4*EXP(RATES!O6)*(1-DATA!$B$6)</f>
        <v>20314.700729682132</v>
      </c>
      <c r="D5">
        <f t="shared" si="1"/>
        <v>101573.50364841067</v>
      </c>
      <c r="E5">
        <f>E4*(1-'LIFE TABLE MALE'!D65/1000)</f>
        <v>0.97729066076034321</v>
      </c>
      <c r="F5">
        <f t="shared" si="2"/>
        <v>0.61412499999999992</v>
      </c>
      <c r="G5">
        <f t="shared" si="0"/>
        <v>101553.50364841067</v>
      </c>
      <c r="H5">
        <f>MAX(D5,DATA!$B$3)</f>
        <v>101573.50364841067</v>
      </c>
      <c r="I5">
        <f>G5*DATA!$B$7*F4*E5</f>
        <v>10755.925127779139</v>
      </c>
      <c r="J5">
        <f>H5*'LIFE TABLE MALE'!D65/1000*F4*E4</f>
        <v>564.91610933038294</v>
      </c>
      <c r="K5">
        <f>0</f>
        <v>0</v>
      </c>
      <c r="L5" s="43">
        <f>DATA!$B$8*((1+DATA!$B$9)^A4)*F5*E5</f>
        <v>31.221292178591963</v>
      </c>
      <c r="M5">
        <f>B4*EXP(RATES!O6)*(DATA!$B$12)</f>
        <v>1163.2139477118603</v>
      </c>
      <c r="N5">
        <f>C4*EXP(RATES!O6)*(DATA!$B$12)</f>
        <v>290.80348692796508</v>
      </c>
      <c r="O5">
        <f t="shared" si="3"/>
        <v>1454.0174346398253</v>
      </c>
      <c r="P5">
        <f t="shared" si="4"/>
        <v>872.67018761354734</v>
      </c>
      <c r="Q5">
        <f>RATES!G6</f>
        <v>0.92095016751412107</v>
      </c>
      <c r="R5" s="43">
        <f t="shared" si="5"/>
        <v>12224.732716901661</v>
      </c>
      <c r="S5">
        <f t="shared" si="6"/>
        <v>11258.369643445942</v>
      </c>
      <c r="T5">
        <f>C4*EXP(RATES!O6)*(DATA!$B$6-DATA!$B$12)</f>
        <v>166.17342110169432</v>
      </c>
      <c r="U5">
        <f>B4*EXP(RATES!O6)*(DATA!$B$6-DATA!$B$12)</f>
        <v>664.69368440677727</v>
      </c>
      <c r="V5">
        <f t="shared" si="7"/>
        <v>830.86710550847158</v>
      </c>
      <c r="W5">
        <f t="shared" si="8"/>
        <v>498.66867863631273</v>
      </c>
      <c r="X5">
        <f>W5*BASE!Q5</f>
        <v>459.24900312415764</v>
      </c>
    </row>
    <row r="6" spans="1:24" x14ac:dyDescent="0.3">
      <c r="A6" s="5">
        <v>4</v>
      </c>
      <c r="B6">
        <f>B5*EXP(RATES!O7)*(1-DATA!$B$6)</f>
        <v>81219.666893987174</v>
      </c>
      <c r="C6">
        <f>C5*EXP(RATES!O7)*(1-DATA!$B$6)</f>
        <v>20304.916723496794</v>
      </c>
      <c r="D6">
        <f t="shared" si="1"/>
        <v>101524.58361748396</v>
      </c>
      <c r="E6">
        <f>E5*(1-'LIFE TABLE MALE'!D66/1000)</f>
        <v>0.96882256423264068</v>
      </c>
      <c r="F6">
        <f t="shared" si="2"/>
        <v>0.52200624999999989</v>
      </c>
      <c r="G6">
        <f t="shared" si="0"/>
        <v>101504.58361748396</v>
      </c>
      <c r="H6">
        <f>MAX(D6,DATA!$B$3)</f>
        <v>101524.58361748396</v>
      </c>
      <c r="I6">
        <f>G6*DATA!$B$7*F5*E6</f>
        <v>9058.951517116544</v>
      </c>
      <c r="J6">
        <f>H6*'LIFE TABLE MALE'!D66/1000*F5*E5</f>
        <v>527.97552903745134</v>
      </c>
      <c r="K6">
        <f>0</f>
        <v>0</v>
      </c>
      <c r="L6" s="43">
        <f>DATA!$B$8*((1+DATA!$B$9)^A5)*F6*E6</f>
        <v>26.834312163128327</v>
      </c>
      <c r="M6">
        <f>B5*EXP(RATES!O7)*(DATA!$B$12)</f>
        <v>1162.6537183188348</v>
      </c>
      <c r="N6">
        <f>C5*EXP(RATES!O7)*(DATA!$B$12)</f>
        <v>290.66342957970869</v>
      </c>
      <c r="O6">
        <f t="shared" si="3"/>
        <v>1453.3171478985435</v>
      </c>
      <c r="P6">
        <f t="shared" si="4"/>
        <v>734.98816478460128</v>
      </c>
      <c r="Q6">
        <f>RATES!G7</f>
        <v>0.90112326459071324</v>
      </c>
      <c r="R6" s="43">
        <f t="shared" si="5"/>
        <v>10348.749523101726</v>
      </c>
      <c r="S6">
        <f t="shared" si="6"/>
        <v>9325.4989546890138</v>
      </c>
      <c r="T6">
        <f>C5*EXP(RATES!O7)*(DATA!$B$6-DATA!$B$12)</f>
        <v>166.09338833126208</v>
      </c>
      <c r="U6">
        <f>B5*EXP(RATES!O7)*(DATA!$B$6-DATA!$B$12)</f>
        <v>664.37355332504831</v>
      </c>
      <c r="V6">
        <f t="shared" si="7"/>
        <v>830.46694165631038</v>
      </c>
      <c r="W6">
        <f t="shared" si="8"/>
        <v>419.99323701977204</v>
      </c>
      <c r="X6">
        <f>W6*BASE!Q6</f>
        <v>378.46567684927817</v>
      </c>
    </row>
    <row r="7" spans="1:24" x14ac:dyDescent="0.3">
      <c r="A7" s="6">
        <v>5</v>
      </c>
      <c r="B7">
        <f>B6*EXP(RATES!O8)*(1-DATA!$B$6)</f>
        <v>81178.572400251767</v>
      </c>
      <c r="C7">
        <f>C6*EXP(RATES!O8)*(1-DATA!$B$6)</f>
        <v>20294.643100062942</v>
      </c>
      <c r="D7">
        <f t="shared" si="1"/>
        <v>101473.21550031471</v>
      </c>
      <c r="E7">
        <f>E6*(1-'LIFE TABLE MALE'!D67/1000)</f>
        <v>0.95947081066687234</v>
      </c>
      <c r="F7">
        <f t="shared" si="2"/>
        <v>0.44370531249999989</v>
      </c>
      <c r="G7">
        <f t="shared" si="0"/>
        <v>101453.21550031471</v>
      </c>
      <c r="H7">
        <f>MAX(D7,DATA!$B$3)</f>
        <v>101473.21550031471</v>
      </c>
      <c r="I7">
        <f>G7*DATA!$B$7*F6*E7</f>
        <v>7621.9227930638735</v>
      </c>
      <c r="J7">
        <f>H7*'LIFE TABLE MALE'!D67/1000*F6*E6</f>
        <v>495.35913850315382</v>
      </c>
      <c r="K7">
        <f>0</f>
        <v>0</v>
      </c>
      <c r="L7" s="43">
        <f>DATA!$B$8*((1+DATA!$B$9)^A6)*F7*E7</f>
        <v>23.040775214562501</v>
      </c>
      <c r="M7">
        <f>B6*EXP(RATES!O8)*(DATA!$B$12)</f>
        <v>1162.0654535823362</v>
      </c>
      <c r="N7">
        <f>C6*EXP(RATES!O8)*(DATA!$B$12)</f>
        <v>290.51636339558405</v>
      </c>
      <c r="O7">
        <f t="shared" si="3"/>
        <v>1452.5818169779202</v>
      </c>
      <c r="P7">
        <f t="shared" si="4"/>
        <v>618.39646607966688</v>
      </c>
      <c r="Q7">
        <f>RATES!G8</f>
        <v>0.88174468672828554</v>
      </c>
      <c r="R7" s="43">
        <f t="shared" si="5"/>
        <v>8758.7191728612561</v>
      </c>
      <c r="S7">
        <f t="shared" si="6"/>
        <v>7722.9540932155769</v>
      </c>
      <c r="T7">
        <f>C6*EXP(RATES!O8)*(DATA!$B$6-DATA!$B$12)</f>
        <v>166.00935051176228</v>
      </c>
      <c r="U7">
        <f>B6*EXP(RATES!O8)*(DATA!$B$6-DATA!$B$12)</f>
        <v>664.03740204704911</v>
      </c>
      <c r="V7">
        <f t="shared" si="7"/>
        <v>830.04675255881136</v>
      </c>
      <c r="W7">
        <f t="shared" si="8"/>
        <v>353.36940918838093</v>
      </c>
      <c r="X7">
        <f>W7*BASE!Q7</f>
        <v>311.58159900416831</v>
      </c>
    </row>
    <row r="8" spans="1:24" x14ac:dyDescent="0.3">
      <c r="A8" s="5">
        <v>6</v>
      </c>
      <c r="B8">
        <f>B7*EXP(RATES!O9)*(1-DATA!$B$6)</f>
        <v>81192.731414463822</v>
      </c>
      <c r="C8">
        <f>C7*EXP(RATES!O9)*(1-DATA!$B$6)</f>
        <v>20298.182853615956</v>
      </c>
      <c r="D8">
        <f t="shared" si="1"/>
        <v>101490.91426807978</v>
      </c>
      <c r="E8">
        <f>E7*(1-'LIFE TABLE MALE'!D68/1000)</f>
        <v>0.94911306420860453</v>
      </c>
      <c r="F8">
        <f t="shared" si="2"/>
        <v>0.37714951562499988</v>
      </c>
      <c r="G8">
        <f t="shared" si="0"/>
        <v>101470.91426807978</v>
      </c>
      <c r="H8">
        <f>MAX(D8,DATA!$B$3)</f>
        <v>101490.91426807978</v>
      </c>
      <c r="I8">
        <f>G8*DATA!$B$7*F7*E8</f>
        <v>6409.8137798462731</v>
      </c>
      <c r="J8">
        <f>H8*'LIFE TABLE MALE'!D68/1000*F7*E7</f>
        <v>466.43063750992189</v>
      </c>
      <c r="K8">
        <f>0</f>
        <v>0</v>
      </c>
      <c r="L8" s="43">
        <f>DATA!$B$8*((1+DATA!$B$9)^A7)*F8*E8</f>
        <v>19.760701996372092</v>
      </c>
      <c r="M8">
        <f>B7*EXP(RATES!O9)*(DATA!$B$12)</f>
        <v>1162.2681388573553</v>
      </c>
      <c r="N8">
        <f>C7*EXP(RATES!O9)*(DATA!$B$12)</f>
        <v>290.56703471433883</v>
      </c>
      <c r="O8">
        <f t="shared" si="3"/>
        <v>1452.8351735716942</v>
      </c>
      <c r="P8">
        <f t="shared" si="4"/>
        <v>520.05329377323187</v>
      </c>
      <c r="Q8">
        <f>RATES!G9</f>
        <v>0.86219592102620646</v>
      </c>
      <c r="R8" s="43">
        <f t="shared" si="5"/>
        <v>7416.0584131257992</v>
      </c>
      <c r="S8">
        <f t="shared" si="6"/>
        <v>6394.0953138891455</v>
      </c>
      <c r="T8">
        <f>C7*EXP(RATES!O9)*(DATA!$B$6-DATA!$B$12)</f>
        <v>166.03830555105071</v>
      </c>
      <c r="U8">
        <f>B7*EXP(RATES!O9)*(DATA!$B$6-DATA!$B$12)</f>
        <v>664.15322220420285</v>
      </c>
      <c r="V8">
        <f t="shared" si="7"/>
        <v>830.19152775525356</v>
      </c>
      <c r="W8">
        <f t="shared" si="8"/>
        <v>297.17331072756099</v>
      </c>
      <c r="X8">
        <f>W8*BASE!Q8</f>
        <v>256.2216163471565</v>
      </c>
    </row>
    <row r="9" spans="1:24" x14ac:dyDescent="0.3">
      <c r="A9" s="5">
        <v>7</v>
      </c>
      <c r="B9">
        <f>B8*EXP(RATES!O10)*(1-DATA!$B$6)</f>
        <v>81254.382012178379</v>
      </c>
      <c r="C9">
        <f>C8*EXP(RATES!O10)*(1-DATA!$B$6)</f>
        <v>20313.595503044595</v>
      </c>
      <c r="D9">
        <f t="shared" si="1"/>
        <v>101567.97751522297</v>
      </c>
      <c r="E9">
        <f>E8*(1-'LIFE TABLE MALE'!D69/1000)</f>
        <v>0.93798161942216929</v>
      </c>
      <c r="F9">
        <f t="shared" si="2"/>
        <v>0.32057708828124987</v>
      </c>
      <c r="G9">
        <f t="shared" si="0"/>
        <v>101547.97751522297</v>
      </c>
      <c r="H9">
        <f>MAX(D9,DATA!$B$3)</f>
        <v>101567.97751522297</v>
      </c>
      <c r="I9">
        <f>G9*DATA!$B$7*F8*E9</f>
        <v>5388.5314209019671</v>
      </c>
      <c r="J9">
        <f>H9*'LIFE TABLE MALE'!D69/1000*F8*E8</f>
        <v>426.4046139517842</v>
      </c>
      <c r="K9">
        <f>0</f>
        <v>0</v>
      </c>
      <c r="L9" s="43">
        <f>DATA!$B$8*((1+DATA!$B$9)^A8)*F9*E9</f>
        <v>16.931593880614496</v>
      </c>
      <c r="M9">
        <f>B8*EXP(RATES!O10)*(DATA!$B$12)</f>
        <v>1163.1506627510198</v>
      </c>
      <c r="N9">
        <f>C8*EXP(RATES!O10)*(DATA!$B$12)</f>
        <v>290.78766568775495</v>
      </c>
      <c r="O9">
        <f t="shared" si="3"/>
        <v>1453.9383284387748</v>
      </c>
      <c r="P9">
        <f t="shared" si="4"/>
        <v>437.19259111263028</v>
      </c>
      <c r="Q9">
        <f>RATES!G10</f>
        <v>0.84258782390013232</v>
      </c>
      <c r="R9" s="43">
        <f t="shared" si="5"/>
        <v>6269.060219846996</v>
      </c>
      <c r="S9">
        <f t="shared" si="6"/>
        <v>5282.2338085397651</v>
      </c>
      <c r="T9">
        <f>C8*EXP(RATES!O10)*(DATA!$B$6-DATA!$B$12)</f>
        <v>166.1643803930028</v>
      </c>
      <c r="U9">
        <f>B8*EXP(RATES!O10)*(DATA!$B$6-DATA!$B$12)</f>
        <v>664.65752157201121</v>
      </c>
      <c r="V9">
        <f t="shared" si="7"/>
        <v>830.82190196501404</v>
      </c>
      <c r="W9">
        <f t="shared" si="8"/>
        <v>249.82433777864586</v>
      </c>
      <c r="X9">
        <f>W9*BASE!Q9</f>
        <v>210.49894512620082</v>
      </c>
    </row>
    <row r="10" spans="1:24" x14ac:dyDescent="0.3">
      <c r="A10" s="5">
        <v>8</v>
      </c>
      <c r="B10">
        <f>B9*EXP(RATES!O11)*(1-DATA!$B$6)</f>
        <v>81365.273383019157</v>
      </c>
      <c r="C10">
        <f>C9*EXP(RATES!O11)*(1-DATA!$B$6)</f>
        <v>20341.318345754789</v>
      </c>
      <c r="D10">
        <f t="shared" si="1"/>
        <v>101706.59172877394</v>
      </c>
      <c r="E10">
        <f>E9*(1-'LIFE TABLE MALE'!D70/1000)</f>
        <v>0.92597738693570153</v>
      </c>
      <c r="F10">
        <f t="shared" si="2"/>
        <v>0.2724905250390624</v>
      </c>
      <c r="G10">
        <f t="shared" si="0"/>
        <v>101686.59172877394</v>
      </c>
      <c r="H10">
        <f>MAX(D10,DATA!$B$3)</f>
        <v>101706.59172877394</v>
      </c>
      <c r="I10">
        <f>G10*DATA!$B$7*F9*E10</f>
        <v>4527.8060060401895</v>
      </c>
      <c r="J10">
        <f>H10*'LIFE TABLE MALE'!D70/1000*F9*E9</f>
        <v>391.39563581267379</v>
      </c>
      <c r="K10">
        <f>0</f>
        <v>0</v>
      </c>
      <c r="L10" s="43">
        <f>DATA!$B$8*((1+DATA!$B$9)^A9)*F10*E10</f>
        <v>14.491822078408561</v>
      </c>
      <c r="M10">
        <f>B9*EXP(RATES!O11)*(DATA!$B$12)</f>
        <v>1164.7380647875952</v>
      </c>
      <c r="N10">
        <f>C9*EXP(RATES!O11)*(DATA!$B$12)</f>
        <v>291.18451619689881</v>
      </c>
      <c r="O10">
        <f t="shared" si="3"/>
        <v>1455.9225809844941</v>
      </c>
      <c r="P10">
        <f t="shared" si="4"/>
        <v>367.35847930866095</v>
      </c>
      <c r="Q10">
        <f>RATES!G11</f>
        <v>0.82292780659029441</v>
      </c>
      <c r="R10" s="43">
        <f t="shared" si="5"/>
        <v>5301.0519432399324</v>
      </c>
      <c r="S10">
        <f t="shared" si="6"/>
        <v>4362.3830482716558</v>
      </c>
      <c r="T10">
        <f>C9*EXP(RATES!O11)*(DATA!$B$6-DATA!$B$12)</f>
        <v>166.39115211251357</v>
      </c>
      <c r="U10">
        <f>B9*EXP(RATES!O11)*(DATA!$B$6-DATA!$B$12)</f>
        <v>665.56460845005427</v>
      </c>
      <c r="V10">
        <f t="shared" si="7"/>
        <v>831.95576056256778</v>
      </c>
      <c r="W10">
        <f t="shared" si="8"/>
        <v>209.91913103352047</v>
      </c>
      <c r="X10">
        <f>W10*BASE!Q10</f>
        <v>172.74829006275561</v>
      </c>
    </row>
    <row r="11" spans="1:24" x14ac:dyDescent="0.3">
      <c r="A11" s="5">
        <v>9</v>
      </c>
      <c r="B11">
        <f>B10*EXP(RATES!O12)*(1-DATA!$B$6)</f>
        <v>81523.24029763104</v>
      </c>
      <c r="C11">
        <f>C10*EXP(RATES!O12)*(1-DATA!$B$6)</f>
        <v>20380.81007440776</v>
      </c>
      <c r="D11">
        <f t="shared" si="1"/>
        <v>101904.05037203879</v>
      </c>
      <c r="E11">
        <f>E10*(1-'LIFE TABLE MALE'!D71/1000)</f>
        <v>0.91303686221304892</v>
      </c>
      <c r="F11">
        <f t="shared" si="2"/>
        <v>0.23161694628320303</v>
      </c>
      <c r="G11">
        <f t="shared" si="0"/>
        <v>101884.05037203879</v>
      </c>
      <c r="H11">
        <f>MAX(D11,DATA!$B$3)</f>
        <v>101904.05037203879</v>
      </c>
      <c r="I11">
        <f>G11*DATA!$B$7*F10*E11</f>
        <v>3802.2194437394828</v>
      </c>
      <c r="J11">
        <f>H11*'LIFE TABLE MALE'!D71/1000*F10*E10</f>
        <v>359.33104361186861</v>
      </c>
      <c r="K11">
        <f>0</f>
        <v>0</v>
      </c>
      <c r="L11" s="43">
        <f>DATA!$B$8*((1+DATA!$B$9)^A10)*F11*E11</f>
        <v>12.388822241480145</v>
      </c>
      <c r="M11">
        <f>B10*EXP(RATES!O12)*(DATA!$B$12)</f>
        <v>1166.9993498638389</v>
      </c>
      <c r="N11">
        <f>C10*EXP(RATES!O12)*(DATA!$B$12)</f>
        <v>291.74983746595973</v>
      </c>
      <c r="O11">
        <f t="shared" si="3"/>
        <v>1458.7491873297986</v>
      </c>
      <c r="P11">
        <f t="shared" si="4"/>
        <v>308.48870703827106</v>
      </c>
      <c r="Q11">
        <f>RATES!G12</f>
        <v>0.80326389514893892</v>
      </c>
      <c r="R11" s="43">
        <f t="shared" si="5"/>
        <v>4482.4280166311028</v>
      </c>
      <c r="S11">
        <f t="shared" si="6"/>
        <v>3600.5725883638324</v>
      </c>
      <c r="T11">
        <f>C10*EXP(RATES!O12)*(DATA!$B$6-DATA!$B$12)</f>
        <v>166.71419283769126</v>
      </c>
      <c r="U11">
        <f>B10*EXP(RATES!O12)*(DATA!$B$6-DATA!$B$12)</f>
        <v>666.85677135076503</v>
      </c>
      <c r="V11">
        <f t="shared" si="7"/>
        <v>833.57096418845629</v>
      </c>
      <c r="W11">
        <f t="shared" si="8"/>
        <v>176.27926116472634</v>
      </c>
      <c r="X11">
        <f>W11*BASE!Q11</f>
        <v>141.59876595715517</v>
      </c>
    </row>
    <row r="12" spans="1:24" x14ac:dyDescent="0.3">
      <c r="A12" s="6">
        <v>10</v>
      </c>
      <c r="B12">
        <f>B11*EXP(RATES!O13)*(1-DATA!$B$6)</f>
        <v>81742.119978905175</v>
      </c>
      <c r="C12">
        <f>C11*EXP(RATES!O13)*(1-DATA!$B$6)</f>
        <v>20435.529994726294</v>
      </c>
      <c r="D12">
        <f t="shared" si="1"/>
        <v>102177.64997363147</v>
      </c>
      <c r="E12">
        <f>E11*(1-'LIFE TABLE MALE'!D72/1000)</f>
        <v>0.89873865929894947</v>
      </c>
      <c r="F12">
        <f t="shared" si="2"/>
        <v>0.19687440434072256</v>
      </c>
      <c r="G12">
        <f t="shared" si="0"/>
        <v>102157.64997363147</v>
      </c>
      <c r="H12">
        <f>MAX(D12,DATA!$B$3)</f>
        <v>102177.64997363147</v>
      </c>
      <c r="I12">
        <f>G12*DATA!$B$7*F11*E12</f>
        <v>3189.8180239074254</v>
      </c>
      <c r="J12">
        <f>H12*'LIFE TABLE MALE'!D72/1000*F11*E11</f>
        <v>338.38234632341681</v>
      </c>
      <c r="K12">
        <f>0</f>
        <v>0</v>
      </c>
      <c r="L12" s="43">
        <f>DATA!$B$8*((1+DATA!$B$9)^A11)*F12*E12</f>
        <v>10.572902581194372</v>
      </c>
      <c r="M12">
        <f>B11*EXP(RATES!O13)*(DATA!$B$12)</f>
        <v>1170.1325968350434</v>
      </c>
      <c r="N12">
        <f>C11*EXP(RATES!O13)*(DATA!$B$12)</f>
        <v>292.53314920876085</v>
      </c>
      <c r="O12">
        <f t="shared" si="3"/>
        <v>1462.6657460438041</v>
      </c>
      <c r="P12">
        <f t="shared" si="4"/>
        <v>258.80208525768961</v>
      </c>
      <c r="Q12">
        <f>RATES!G13</f>
        <v>0.78348852098697186</v>
      </c>
      <c r="R12" s="43">
        <f t="shared" si="5"/>
        <v>3797.5753580697265</v>
      </c>
      <c r="S12">
        <f t="shared" si="6"/>
        <v>2975.3567006306203</v>
      </c>
      <c r="T12">
        <f>C11*EXP(RATES!O13)*(DATA!$B$6-DATA!$B$12)</f>
        <v>167.1617995478633</v>
      </c>
      <c r="U12">
        <f>B11*EXP(RATES!O13)*(DATA!$B$6-DATA!$B$12)</f>
        <v>668.64719819145319</v>
      </c>
      <c r="V12">
        <f t="shared" si="7"/>
        <v>835.80899773931651</v>
      </c>
      <c r="W12">
        <f t="shared" si="8"/>
        <v>147.88690586153689</v>
      </c>
      <c r="X12">
        <f>W12*BASE!Q12</f>
        <v>115.86769314679508</v>
      </c>
    </row>
    <row r="13" spans="1:24" x14ac:dyDescent="0.3">
      <c r="A13" s="5">
        <v>11</v>
      </c>
      <c r="B13">
        <f>B12*EXP(RATES!O14)*(1-DATA!$B$6)</f>
        <v>82068.023997806304</v>
      </c>
      <c r="C13">
        <f>C12*EXP(RATES!O14)*(1-DATA!$B$6)</f>
        <v>20517.005999451576</v>
      </c>
      <c r="D13">
        <f t="shared" si="1"/>
        <v>102585.02999725788</v>
      </c>
      <c r="E13">
        <f>E12*(1-'LIFE TABLE MALE'!D73/1000)</f>
        <v>0.88303447743659658</v>
      </c>
      <c r="F13">
        <f t="shared" si="2"/>
        <v>0.16734324368961417</v>
      </c>
      <c r="G13">
        <f t="shared" si="0"/>
        <v>102565.02999725788</v>
      </c>
      <c r="H13">
        <f>MAX(D13,DATA!$B$3)</f>
        <v>102585.02999725788</v>
      </c>
      <c r="I13">
        <f>G13*DATA!$B$7*F12*E13</f>
        <v>2674.5916732842579</v>
      </c>
      <c r="J13">
        <f>H13*'LIFE TABLE MALE'!D73/1000*F12*E12</f>
        <v>317.16741522273344</v>
      </c>
      <c r="K13">
        <f>0</f>
        <v>0</v>
      </c>
      <c r="L13" s="43">
        <f>DATA!$B$8*((1+DATA!$B$9)^A12)*F13*E13</f>
        <v>9.0065313578690809</v>
      </c>
      <c r="M13">
        <f>B12*EXP(RATES!O14)*(DATA!$B$12)</f>
        <v>1174.7978895391495</v>
      </c>
      <c r="N13">
        <f>C12*EXP(RATES!O14)*(DATA!$B$12)</f>
        <v>293.69947238478738</v>
      </c>
      <c r="O13">
        <f t="shared" si="3"/>
        <v>1468.497361923937</v>
      </c>
      <c r="P13">
        <f t="shared" si="4"/>
        <v>216.99964039495512</v>
      </c>
      <c r="Q13">
        <f>RATES!G14</f>
        <v>0.76320887666583526</v>
      </c>
      <c r="R13" s="43">
        <f t="shared" si="5"/>
        <v>3217.7652602598155</v>
      </c>
      <c r="S13">
        <f t="shared" si="6"/>
        <v>2455.8270096572428</v>
      </c>
      <c r="T13">
        <f>C12*EXP(RATES!O14)*(DATA!$B$6-DATA!$B$12)</f>
        <v>167.82826993416418</v>
      </c>
      <c r="U13">
        <f>B12*EXP(RATES!O14)*(DATA!$B$6-DATA!$B$12)</f>
        <v>671.31307973665673</v>
      </c>
      <c r="V13">
        <f t="shared" si="7"/>
        <v>839.14134967082089</v>
      </c>
      <c r="W13">
        <f t="shared" si="8"/>
        <v>123.9997945114029</v>
      </c>
      <c r="X13">
        <f>W13*BASE!Q13</f>
        <v>94.637743875842204</v>
      </c>
    </row>
    <row r="14" spans="1:24" x14ac:dyDescent="0.3">
      <c r="A14" s="5">
        <v>12</v>
      </c>
      <c r="B14">
        <f>B13*EXP(RATES!O15)*(1-DATA!$B$6)</f>
        <v>82258.656528029838</v>
      </c>
      <c r="C14">
        <f>C13*EXP(RATES!O15)*(1-DATA!$B$6)</f>
        <v>20564.66413200746</v>
      </c>
      <c r="D14">
        <f t="shared" si="1"/>
        <v>102823.32066003729</v>
      </c>
      <c r="E14">
        <f>E13*(1-'LIFE TABLE MALE'!D74/1000)</f>
        <v>0.86560560209888138</v>
      </c>
      <c r="F14">
        <f t="shared" si="2"/>
        <v>0.14224175713617204</v>
      </c>
      <c r="G14">
        <f t="shared" si="0"/>
        <v>102803.32066003729</v>
      </c>
      <c r="H14">
        <f>MAX(D14,DATA!$B$3)</f>
        <v>102823.32066003729</v>
      </c>
      <c r="I14">
        <f>G14*DATA!$B$7*F13*E14</f>
        <v>2233.7092540949875</v>
      </c>
      <c r="J14">
        <f>H14*'LIFE TABLE MALE'!D74/1000*F13*E13</f>
        <v>299.89496312234434</v>
      </c>
      <c r="K14">
        <f>0</f>
        <v>0</v>
      </c>
      <c r="L14" s="43">
        <f>DATA!$B$8*((1+DATA!$B$9)^A13)*F14*E14</f>
        <v>7.6545393636557053</v>
      </c>
      <c r="M14">
        <f>B13*EXP(RATES!O15)*(DATA!$B$12)</f>
        <v>1177.5267805648443</v>
      </c>
      <c r="N14">
        <f>C13*EXP(RATES!O15)*(DATA!$B$12)</f>
        <v>294.38169514121108</v>
      </c>
      <c r="O14">
        <f t="shared" si="3"/>
        <v>1471.9084757060555</v>
      </c>
      <c r="P14">
        <f t="shared" si="4"/>
        <v>181.22911646030803</v>
      </c>
      <c r="Q14">
        <f>RATES!G15</f>
        <v>0.74468847430975171</v>
      </c>
      <c r="R14" s="44">
        <f t="shared" si="5"/>
        <v>2722.4878730412956</v>
      </c>
      <c r="S14">
        <f t="shared" si="6"/>
        <v>2027.4053405019235</v>
      </c>
      <c r="T14">
        <f>C13*EXP(RATES!O15)*(DATA!$B$6-DATA!$B$12)</f>
        <v>168.21811150926345</v>
      </c>
      <c r="U14">
        <f>B13*EXP(RATES!O15)*(DATA!$B$6-DATA!$B$12)</f>
        <v>672.87244603705381</v>
      </c>
      <c r="V14">
        <f t="shared" si="7"/>
        <v>841.09055754631731</v>
      </c>
      <c r="W14">
        <f t="shared" si="8"/>
        <v>103.55949512017602</v>
      </c>
      <c r="X14">
        <f>W14*BASE!Q14</f>
        <v>77.119562421332063</v>
      </c>
    </row>
    <row r="15" spans="1:24" x14ac:dyDescent="0.3">
      <c r="A15" s="5">
        <v>13</v>
      </c>
      <c r="B15">
        <f>B14*EXP(RATES!O16)*(1-DATA!$B$6)</f>
        <v>82502.039008492662</v>
      </c>
      <c r="C15">
        <f>C14*EXP(RATES!O16)*(1-DATA!$B$6)</f>
        <v>20625.509752123166</v>
      </c>
      <c r="D15">
        <f t="shared" si="1"/>
        <v>103127.54876061583</v>
      </c>
      <c r="E15">
        <f>E14*(1-'LIFE TABLE MALE'!D75/1000)</f>
        <v>0.84680311629937799</v>
      </c>
      <c r="F15">
        <f t="shared" si="2"/>
        <v>0.12090549356574623</v>
      </c>
      <c r="G15">
        <f t="shared" si="0"/>
        <v>103107.54876061583</v>
      </c>
      <c r="H15">
        <f>MAX(D15,DATA!$B$3)</f>
        <v>103127.54876061583</v>
      </c>
      <c r="I15">
        <f>G15*DATA!$B$7*F14*E15</f>
        <v>1862.907441151794</v>
      </c>
      <c r="J15">
        <f>H15*'LIFE TABLE MALE'!D75/1000*F14*E14</f>
        <v>275.81448670495416</v>
      </c>
      <c r="K15">
        <f>0</f>
        <v>0</v>
      </c>
      <c r="L15" s="43">
        <f>DATA!$B$8*((1+DATA!$B$9)^A14)*F15*E15</f>
        <v>6.4923294138634873</v>
      </c>
      <c r="M15">
        <f>B14*EXP(RATES!O16)*(DATA!$B$12)</f>
        <v>1181.0107833526558</v>
      </c>
      <c r="N15">
        <f>C14*EXP(RATES!O16)*(DATA!$B$12)</f>
        <v>295.25269583816396</v>
      </c>
      <c r="O15">
        <f t="shared" si="3"/>
        <v>1476.2634791908199</v>
      </c>
      <c r="P15">
        <f t="shared" si="4"/>
        <v>151.14450335346271</v>
      </c>
      <c r="Q15">
        <f>RATES!G16</f>
        <v>0.72615681422166556</v>
      </c>
      <c r="R15" s="44">
        <f t="shared" si="5"/>
        <v>2296.3587606240744</v>
      </c>
      <c r="S15">
        <f t="shared" si="6"/>
        <v>1667.5165619247903</v>
      </c>
      <c r="T15">
        <f>C14*EXP(RATES!O16)*(DATA!$B$6-DATA!$B$12)</f>
        <v>168.7158261932365</v>
      </c>
      <c r="U15">
        <f>B14*EXP(RATES!O16)*(DATA!$B$6-DATA!$B$12)</f>
        <v>674.86330477294598</v>
      </c>
      <c r="V15">
        <f t="shared" si="7"/>
        <v>843.57913096618245</v>
      </c>
      <c r="W15">
        <f t="shared" si="8"/>
        <v>86.368287630550071</v>
      </c>
      <c r="X15">
        <f>W15*BASE!Q15</f>
        <v>62.716920595580724</v>
      </c>
    </row>
    <row r="16" spans="1:24" x14ac:dyDescent="0.3">
      <c r="A16" s="5">
        <v>14</v>
      </c>
      <c r="B16">
        <f>B15*EXP(RATES!O17)*(1-DATA!$B$6)</f>
        <v>82776.822411940768</v>
      </c>
      <c r="C16">
        <f>C15*EXP(RATES!O17)*(1-DATA!$B$6)</f>
        <v>20694.205602985192</v>
      </c>
      <c r="D16">
        <f t="shared" si="1"/>
        <v>103471.02801492596</v>
      </c>
      <c r="E16">
        <f>E15*(1-'LIFE TABLE MALE'!D76/1000)</f>
        <v>0.82654671355028708</v>
      </c>
      <c r="F16">
        <f t="shared" si="2"/>
        <v>0.10276966953088429</v>
      </c>
      <c r="G16">
        <f t="shared" si="0"/>
        <v>103451.02801492596</v>
      </c>
      <c r="H16">
        <f>MAX(D16,DATA!$B$3)</f>
        <v>103471.02801492596</v>
      </c>
      <c r="I16">
        <f>G16*DATA!$B$7*F15*E16</f>
        <v>1550.7418502563182</v>
      </c>
      <c r="J16">
        <f>H16*'LIFE TABLE MALE'!D76/1000*F15*E15</f>
        <v>253.41196793824696</v>
      </c>
      <c r="K16">
        <f>0</f>
        <v>0</v>
      </c>
      <c r="L16" s="43">
        <f>DATA!$B$8*((1+DATA!$B$9)^A15)*F16*E16</f>
        <v>5.4942017216290271</v>
      </c>
      <c r="M16">
        <f>B15*EXP(RATES!O17)*(DATA!$B$12)</f>
        <v>1184.9442881054915</v>
      </c>
      <c r="N16">
        <f>C15*EXP(RATES!O17)*(DATA!$B$12)</f>
        <v>296.23607202637288</v>
      </c>
      <c r="O16">
        <f t="shared" si="3"/>
        <v>1481.1803601318643</v>
      </c>
      <c r="P16">
        <f t="shared" si="4"/>
        <v>125.81728468452302</v>
      </c>
      <c r="Q16">
        <f>RATES!G17</f>
        <v>0.70782386801134656</v>
      </c>
      <c r="R16" s="44">
        <f t="shared" si="5"/>
        <v>1935.4653046007172</v>
      </c>
      <c r="S16">
        <f t="shared" si="6"/>
        <v>1369.9685383042388</v>
      </c>
      <c r="T16">
        <f>C15*EXP(RATES!O17)*(DATA!$B$6-DATA!$B$12)</f>
        <v>169.27775544364161</v>
      </c>
      <c r="U16">
        <f>B15*EXP(RATES!O17)*(DATA!$B$6-DATA!$B$12)</f>
        <v>677.11102177456644</v>
      </c>
      <c r="V16">
        <f t="shared" si="7"/>
        <v>846.38877721820802</v>
      </c>
      <c r="W16">
        <f t="shared" si="8"/>
        <v>71.895591248298857</v>
      </c>
      <c r="X16">
        <f>W16*BASE!Q16</f>
        <v>50.889415490333612</v>
      </c>
    </row>
    <row r="17" spans="1:24" x14ac:dyDescent="0.3">
      <c r="A17" s="6">
        <v>15</v>
      </c>
      <c r="B17">
        <f>B16*EXP(RATES!O18)*(1-DATA!$B$6)</f>
        <v>82966.673538954565</v>
      </c>
      <c r="C17">
        <f>C16*EXP(RATES!O18)*(1-DATA!$B$6)</f>
        <v>20741.668384738641</v>
      </c>
      <c r="D17">
        <f t="shared" si="1"/>
        <v>103708.34192369321</v>
      </c>
      <c r="E17">
        <f>E16*(1-'LIFE TABLE MALE'!D77/1000)</f>
        <v>0.80507394739910265</v>
      </c>
      <c r="F17">
        <f t="shared" si="2"/>
        <v>8.7354219101251643E-2</v>
      </c>
      <c r="G17">
        <f t="shared" si="0"/>
        <v>103688.34192369321</v>
      </c>
      <c r="H17">
        <f>MAX(D17,DATA!$B$3)</f>
        <v>103708.34192369321</v>
      </c>
      <c r="I17">
        <f>G17*DATA!$B$7*F16*E17</f>
        <v>1286.8322062269003</v>
      </c>
      <c r="J17">
        <f>H17*'LIFE TABLE MALE'!D77/1000*F16*E16</f>
        <v>228.85828826026747</v>
      </c>
      <c r="K17">
        <f>0</f>
        <v>0</v>
      </c>
      <c r="L17" s="43">
        <f>DATA!$B$8*((1+DATA!$B$9)^A16)*F17*E17</f>
        <v>4.6397231543561688</v>
      </c>
      <c r="M17">
        <f>B16*EXP(RATES!O18)*(DATA!$B$12)</f>
        <v>1187.6619934001676</v>
      </c>
      <c r="N17">
        <f>C16*EXP(RATES!O18)*(DATA!$B$12)</f>
        <v>296.9154983500419</v>
      </c>
      <c r="O17">
        <f t="shared" si="3"/>
        <v>1484.5774917502094</v>
      </c>
      <c r="P17">
        <f t="shared" si="4"/>
        <v>104.40529632959681</v>
      </c>
      <c r="Q17">
        <f>RATES!G18</f>
        <v>0.6906676758678868</v>
      </c>
      <c r="R17" s="44">
        <f t="shared" si="5"/>
        <v>1624.7355139711208</v>
      </c>
      <c r="S17">
        <f t="shared" si="6"/>
        <v>1122.1523013344506</v>
      </c>
      <c r="T17">
        <f>C16*EXP(RATES!O18)*(DATA!$B$6-DATA!$B$12)</f>
        <v>169.66599905716677</v>
      </c>
      <c r="U17">
        <f>B16*EXP(RATES!O18)*(DATA!$B$6-DATA!$B$12)</f>
        <v>678.66399622866709</v>
      </c>
      <c r="V17">
        <f t="shared" si="7"/>
        <v>848.32999528583389</v>
      </c>
      <c r="W17">
        <f t="shared" si="8"/>
        <v>59.660169331198176</v>
      </c>
      <c r="X17">
        <f>W17*BASE!Q17</f>
        <v>41.205350493863222</v>
      </c>
    </row>
    <row r="18" spans="1:24" x14ac:dyDescent="0.3">
      <c r="A18" s="5">
        <v>16</v>
      </c>
      <c r="B18">
        <f>B17*EXP(RATES!O19)*(1-DATA!$B$6)</f>
        <v>83012.664280582845</v>
      </c>
      <c r="C18">
        <f>C17*EXP(RATES!O19)*(1-DATA!$B$6)</f>
        <v>20753.166070145711</v>
      </c>
      <c r="D18">
        <f t="shared" si="1"/>
        <v>103765.83035072856</v>
      </c>
      <c r="E18">
        <f>E17*(1-'LIFE TABLE MALE'!D78/1000)</f>
        <v>0.78154781888454283</v>
      </c>
      <c r="F18">
        <f t="shared" si="2"/>
        <v>7.4251086236063898E-2</v>
      </c>
      <c r="G18">
        <f t="shared" si="0"/>
        <v>103745.83035072856</v>
      </c>
      <c r="H18">
        <f>MAX(D18,DATA!$B$3)</f>
        <v>103765.83035072856</v>
      </c>
      <c r="I18">
        <f>G18*DATA!$B$7*F17*E18</f>
        <v>1062.4325093205516</v>
      </c>
      <c r="J18">
        <f>H18*'LIFE TABLE MALE'!D78/1000*F17*E17</f>
        <v>213.24984123777253</v>
      </c>
      <c r="K18">
        <f>0</f>
        <v>0</v>
      </c>
      <c r="L18" s="43">
        <f>DATA!$B$8*((1+DATA!$B$9)^A17)*F18*E18</f>
        <v>3.9050891022376168</v>
      </c>
      <c r="M18">
        <f>B17*EXP(RATES!O19)*(DATA!$B$12)</f>
        <v>1188.3203475748055</v>
      </c>
      <c r="N18">
        <f>C17*EXP(RATES!O19)*(DATA!$B$12)</f>
        <v>297.08008689370138</v>
      </c>
      <c r="O18">
        <f t="shared" si="3"/>
        <v>1485.4004344685068</v>
      </c>
      <c r="P18">
        <f t="shared" si="4"/>
        <v>86.19893765128468</v>
      </c>
      <c r="Q18">
        <f>RATES!G19</f>
        <v>0.67509876092267374</v>
      </c>
      <c r="R18" s="44">
        <f t="shared" si="5"/>
        <v>1365.7863773118465</v>
      </c>
      <c r="S18">
        <f t="shared" si="6"/>
        <v>922.04069100829497</v>
      </c>
      <c r="T18">
        <f>C17*EXP(RATES!O19)*(DATA!$B$6-DATA!$B$12)</f>
        <v>169.76004965354363</v>
      </c>
      <c r="U18">
        <f>B17*EXP(RATES!O19)*(DATA!$B$6-DATA!$B$12)</f>
        <v>679.04019861417453</v>
      </c>
      <c r="V18">
        <f t="shared" si="7"/>
        <v>848.80024826771819</v>
      </c>
      <c r="W18">
        <f t="shared" si="8"/>
        <v>49.256535800734106</v>
      </c>
      <c r="X18">
        <f>W18*BASE!Q18</f>
        <v>33.253026286418915</v>
      </c>
    </row>
    <row r="19" spans="1:24" x14ac:dyDescent="0.3">
      <c r="A19" s="5">
        <v>17</v>
      </c>
      <c r="B19">
        <f>B18*EXP(RATES!O20)*(1-DATA!$B$6)</f>
        <v>82929.076023361471</v>
      </c>
      <c r="C19">
        <f>C18*EXP(RATES!O20)*(1-DATA!$B$6)</f>
        <v>20732.269005840368</v>
      </c>
      <c r="D19">
        <f t="shared" si="1"/>
        <v>103661.34502920184</v>
      </c>
      <c r="E19">
        <f>E18*(1-'LIFE TABLE MALE'!D79/1000)</f>
        <v>0.75585878756006464</v>
      </c>
      <c r="F19">
        <f t="shared" si="2"/>
        <v>6.3113423300654309E-2</v>
      </c>
      <c r="G19">
        <f t="shared" si="0"/>
        <v>103641.34502920184</v>
      </c>
      <c r="H19">
        <f>MAX(D19,DATA!$B$3)</f>
        <v>103661.34502920184</v>
      </c>
      <c r="I19">
        <f>G19*DATA!$B$7*F18*E19</f>
        <v>872.50470485551853</v>
      </c>
      <c r="J19">
        <f>H19*'LIFE TABLE MALE'!D79/1000*F18*E18</f>
        <v>197.72763841744691</v>
      </c>
      <c r="K19">
        <f>0</f>
        <v>0</v>
      </c>
      <c r="L19" s="43">
        <f>DATA!$B$8*((1+DATA!$B$9)^A18)*F19*E19</f>
        <v>3.2744258197845904</v>
      </c>
      <c r="M19">
        <f>B18*EXP(RATES!O20)*(DATA!$B$12)</f>
        <v>1187.1237876554812</v>
      </c>
      <c r="N19">
        <f>C18*EXP(RATES!O20)*(DATA!$B$12)</f>
        <v>296.78094691387031</v>
      </c>
      <c r="O19">
        <f t="shared" si="3"/>
        <v>1483.9047345693516</v>
      </c>
      <c r="P19">
        <f t="shared" si="4"/>
        <v>70.789431430650922</v>
      </c>
      <c r="Q19">
        <f>RATES!G20</f>
        <v>0.66091208289531467</v>
      </c>
      <c r="R19" s="44">
        <f t="shared" si="5"/>
        <v>1144.296200523401</v>
      </c>
      <c r="S19">
        <f t="shared" si="6"/>
        <v>756.27918533711568</v>
      </c>
      <c r="T19">
        <f>C18*EXP(RATES!O20)*(DATA!$B$6-DATA!$B$12)</f>
        <v>169.58911252221156</v>
      </c>
      <c r="U19">
        <f>B18*EXP(RATES!O20)*(DATA!$B$6-DATA!$B$12)</f>
        <v>678.35645008884626</v>
      </c>
      <c r="V19">
        <f t="shared" si="7"/>
        <v>847.94556261105777</v>
      </c>
      <c r="W19">
        <f t="shared" si="8"/>
        <v>40.451103674657666</v>
      </c>
      <c r="X19">
        <f>W19*BASE!Q19</f>
        <v>26.734623185032316</v>
      </c>
    </row>
    <row r="20" spans="1:24" x14ac:dyDescent="0.3">
      <c r="A20" s="5">
        <v>18</v>
      </c>
      <c r="B20">
        <f>B19*EXP(RATES!O21)*(1-DATA!$B$6)</f>
        <v>82813.18390319946</v>
      </c>
      <c r="C20">
        <f>C19*EXP(RATES!O21)*(1-DATA!$B$6)</f>
        <v>20703.295975799865</v>
      </c>
      <c r="D20">
        <f t="shared" si="1"/>
        <v>103516.47987899932</v>
      </c>
      <c r="E20">
        <f>E19*(1-'LIFE TABLE MALE'!D80/1000)</f>
        <v>0.72747802100380776</v>
      </c>
      <c r="F20">
        <f t="shared" si="2"/>
        <v>5.3646409805556163E-2</v>
      </c>
      <c r="G20">
        <f t="shared" si="0"/>
        <v>103496.47987899932</v>
      </c>
      <c r="H20">
        <f>MAX(D20,DATA!$B$3)</f>
        <v>103516.47987899932</v>
      </c>
      <c r="I20">
        <f>G20*DATA!$B$7*F19*E20</f>
        <v>712.78483584177059</v>
      </c>
      <c r="J20">
        <f>H20*'LIFE TABLE MALE'!D80/1000*F19*E19</f>
        <v>185.41947787274177</v>
      </c>
      <c r="K20">
        <f>0</f>
        <v>0</v>
      </c>
      <c r="L20" s="43">
        <f>DATA!$B$8*((1+DATA!$B$9)^A19)*F20*E20</f>
        <v>2.7323319710714613</v>
      </c>
      <c r="M20">
        <f>B19*EXP(RATES!O21)*(DATA!$B$12)</f>
        <v>1185.464800250299</v>
      </c>
      <c r="N20">
        <f>C19*EXP(RATES!O21)*(DATA!$B$12)</f>
        <v>296.36620006257476</v>
      </c>
      <c r="O20">
        <f t="shared" si="3"/>
        <v>1481.8310003128738</v>
      </c>
      <c r="P20">
        <f t="shared" si="4"/>
        <v>57.830802065758157</v>
      </c>
      <c r="Q20">
        <f>RATES!G21</f>
        <v>0.64727657622441381</v>
      </c>
      <c r="R20" s="44">
        <f t="shared" si="5"/>
        <v>958.76744775134193</v>
      </c>
      <c r="S20">
        <f t="shared" si="6"/>
        <v>620.58771097590818</v>
      </c>
      <c r="T20">
        <f>C19*EXP(RATES!O21)*(DATA!$B$6-DATA!$B$12)</f>
        <v>169.35211432147125</v>
      </c>
      <c r="U20">
        <f>B19*EXP(RATES!O21)*(DATA!$B$6-DATA!$B$12)</f>
        <v>677.40845728588499</v>
      </c>
      <c r="V20">
        <f t="shared" si="7"/>
        <v>846.76057160735627</v>
      </c>
      <c r="W20">
        <f t="shared" si="8"/>
        <v>33.046172609004657</v>
      </c>
      <c r="X20">
        <f>W20*BASE!Q20</f>
        <v>21.390013463677537</v>
      </c>
    </row>
    <row r="21" spans="1:24" x14ac:dyDescent="0.3">
      <c r="A21" s="5">
        <v>19</v>
      </c>
      <c r="B21">
        <f>B20*EXP(RATES!O22)*(1-DATA!$B$6)</f>
        <v>82680.449851873433</v>
      </c>
      <c r="C21">
        <f>C20*EXP(RATES!O22)*(1-DATA!$B$6)</f>
        <v>20670.112462968358</v>
      </c>
      <c r="D21">
        <f t="shared" si="1"/>
        <v>103350.56231484179</v>
      </c>
      <c r="E21">
        <f>E20*(1-'LIFE TABLE MALE'!D81/1000)</f>
        <v>0.69728757401044661</v>
      </c>
      <c r="F21">
        <f t="shared" si="2"/>
        <v>4.5599448334722736E-2</v>
      </c>
      <c r="G21">
        <f t="shared" si="0"/>
        <v>103330.56231484179</v>
      </c>
      <c r="H21">
        <f>MAX(D21,DATA!$B$3)</f>
        <v>103350.56231484179</v>
      </c>
      <c r="I21">
        <f>G21*DATA!$B$7*F20*E21</f>
        <v>579.79256337624668</v>
      </c>
      <c r="J21">
        <f>H21*'LIFE TABLE MALE'!D81/1000*F20*E20</f>
        <v>167.38751034903044</v>
      </c>
      <c r="K21">
        <f>0</f>
        <v>0</v>
      </c>
      <c r="L21" s="43">
        <f>DATA!$B$8*((1+DATA!$B$9)^A20)*F21*E21</f>
        <v>2.270620793094047</v>
      </c>
      <c r="M21">
        <f>B20*EXP(RATES!O22)*(DATA!$B$12)</f>
        <v>1183.5647218059592</v>
      </c>
      <c r="N21">
        <f>C20*EXP(RATES!O22)*(DATA!$B$12)</f>
        <v>295.89118045148979</v>
      </c>
      <c r="O21">
        <f t="shared" si="3"/>
        <v>1479.455902257449</v>
      </c>
      <c r="P21">
        <f t="shared" si="4"/>
        <v>47.040674391158603</v>
      </c>
      <c r="Q21">
        <f>RATES!G22</f>
        <v>0.63405275958074025</v>
      </c>
      <c r="R21" s="44">
        <f t="shared" si="5"/>
        <v>796.4913689095298</v>
      </c>
      <c r="S21">
        <f t="shared" si="6"/>
        <v>505.01755043932877</v>
      </c>
      <c r="T21">
        <f>C20*EXP(RATES!O22)*(DATA!$B$6-DATA!$B$12)</f>
        <v>169.08067454370843</v>
      </c>
      <c r="U21">
        <f>B20*EXP(RATES!O22)*(DATA!$B$6-DATA!$B$12)</f>
        <v>676.3226981748337</v>
      </c>
      <c r="V21">
        <f t="shared" si="7"/>
        <v>845.40337271854219</v>
      </c>
      <c r="W21">
        <f t="shared" si="8"/>
        <v>26.880385366376345</v>
      </c>
      <c r="X21">
        <f>W21*BASE!Q21</f>
        <v>17.043582520144668</v>
      </c>
    </row>
    <row r="22" spans="1:24" x14ac:dyDescent="0.3">
      <c r="A22" s="6">
        <v>20</v>
      </c>
      <c r="B22">
        <f>B21*EXP(RATES!O23)*(1-DATA!$B$6)</f>
        <v>82630.136364810009</v>
      </c>
      <c r="C22">
        <f>C21*EXP(RATES!O23)*(1-DATA!$B$6)</f>
        <v>20657.534091202502</v>
      </c>
      <c r="D22">
        <f t="shared" si="1"/>
        <v>103287.67045601251</v>
      </c>
      <c r="E22">
        <f>E21*(1-'LIFE TABLE MALE'!D82/1000)</f>
        <v>0.66448505374764599</v>
      </c>
      <c r="F22">
        <f t="shared" si="2"/>
        <v>3.8759531084514326E-2</v>
      </c>
      <c r="G22">
        <f t="shared" si="0"/>
        <v>103267.67045601251</v>
      </c>
      <c r="H22">
        <f>MAX(D22,DATA!$B$3)</f>
        <v>103287.67045601251</v>
      </c>
      <c r="I22">
        <f>G22*DATA!$B$7*F21*E22</f>
        <v>469.35391482886848</v>
      </c>
      <c r="J22">
        <f>H22*'LIFE TABLE MALE'!D82/1000*F21*E21</f>
        <v>154.49530408334002</v>
      </c>
      <c r="K22">
        <f>0</f>
        <v>0</v>
      </c>
      <c r="L22" s="43">
        <f>DATA!$B$8*((1+DATA!$B$9)^A21)*F22*E22</f>
        <v>1.8760179908421153</v>
      </c>
      <c r="M22">
        <f>B21*EXP(RATES!O23)*(DATA!$B$12)</f>
        <v>1182.8444878398161</v>
      </c>
      <c r="N22">
        <f>C21*EXP(RATES!O23)*(DATA!$B$12)</f>
        <v>295.71112195995403</v>
      </c>
      <c r="O22">
        <f t="shared" si="3"/>
        <v>1478.5556097997701</v>
      </c>
      <c r="P22">
        <f t="shared" si="4"/>
        <v>38.080390605900227</v>
      </c>
      <c r="Q22">
        <f>RATES!G23</f>
        <v>0.62048117992903407</v>
      </c>
      <c r="R22" s="44">
        <f t="shared" si="5"/>
        <v>663.80562750895081</v>
      </c>
      <c r="S22">
        <f t="shared" si="6"/>
        <v>411.87889900028665</v>
      </c>
      <c r="T22">
        <f>C21*EXP(RATES!O23)*(DATA!$B$6-DATA!$B$12)</f>
        <v>168.97778397711653</v>
      </c>
      <c r="U22">
        <f>B21*EXP(RATES!O23)*(DATA!$B$6-DATA!$B$12)</f>
        <v>675.91113590846612</v>
      </c>
      <c r="V22">
        <f t="shared" si="7"/>
        <v>844.88891988558271</v>
      </c>
      <c r="W22">
        <f t="shared" si="8"/>
        <v>21.760223203371556</v>
      </c>
      <c r="X22">
        <f>W22*BASE!Q22</f>
        <v>13.501808968747129</v>
      </c>
    </row>
    <row r="23" spans="1:24" x14ac:dyDescent="0.3">
      <c r="A23" s="5">
        <v>21</v>
      </c>
      <c r="B23">
        <f>B22*EXP(RATES!O24)*(1-DATA!$B$6)</f>
        <v>82662.12593342422</v>
      </c>
      <c r="C23">
        <f>C22*EXP(RATES!O24)*(1-DATA!$B$6)</f>
        <v>20665.531483356055</v>
      </c>
      <c r="D23">
        <f t="shared" si="1"/>
        <v>103327.65741678028</v>
      </c>
      <c r="E23">
        <f>E22*(1-'LIFE TABLE MALE'!D83/1000)</f>
        <v>0.62941975883579881</v>
      </c>
      <c r="F23">
        <f t="shared" si="2"/>
        <v>3.2945601421837174E-2</v>
      </c>
      <c r="G23">
        <f t="shared" si="0"/>
        <v>103307.65741678028</v>
      </c>
      <c r="H23">
        <f>MAX(D23,DATA!$B$3)</f>
        <v>103327.65741678028</v>
      </c>
      <c r="I23">
        <f>G23*DATA!$B$7*F22*E23</f>
        <v>378.04426946527695</v>
      </c>
      <c r="J23">
        <f>H23*'LIFE TABLE MALE'!D83/1000*F22*E22</f>
        <v>140.43410588623175</v>
      </c>
      <c r="K23">
        <f>0</f>
        <v>0</v>
      </c>
      <c r="L23" s="43">
        <f>DATA!$B$8*((1+DATA!$B$9)^A22)*F23*E23</f>
        <v>1.540675767410695</v>
      </c>
      <c r="M23">
        <f>B22*EXP(RATES!O24)*(DATA!$B$12)</f>
        <v>1183.3024162248867</v>
      </c>
      <c r="N23">
        <f>C22*EXP(RATES!O24)*(DATA!$B$12)</f>
        <v>295.82560405622166</v>
      </c>
      <c r="O23">
        <f t="shared" si="3"/>
        <v>1479.1280202811083</v>
      </c>
      <c r="P23">
        <f t="shared" si="4"/>
        <v>30.672104596877052</v>
      </c>
      <c r="Q23">
        <f>RATES!G24</f>
        <v>0.60659575547952316</v>
      </c>
      <c r="R23" s="44">
        <f t="shared" si="5"/>
        <v>550.69115571579641</v>
      </c>
      <c r="S23">
        <f t="shared" si="6"/>
        <v>334.04691763731523</v>
      </c>
      <c r="T23">
        <f>C22*EXP(RATES!O24)*(DATA!$B$6-DATA!$B$12)</f>
        <v>169.04320231784092</v>
      </c>
      <c r="U23">
        <f>B22*EXP(RATES!O24)*(DATA!$B$6-DATA!$B$12)</f>
        <v>676.17280927136369</v>
      </c>
      <c r="V23">
        <f t="shared" si="7"/>
        <v>845.21601158920464</v>
      </c>
      <c r="W23">
        <f t="shared" si="8"/>
        <v>17.526916912501171</v>
      </c>
      <c r="X23">
        <f>W23*BASE!Q23</f>
        <v>10.63175340576548</v>
      </c>
    </row>
    <row r="24" spans="1:24" x14ac:dyDescent="0.3">
      <c r="A24" s="5">
        <v>22</v>
      </c>
      <c r="B24">
        <f>B23*EXP(RATES!O25)*(1-DATA!$B$6)</f>
        <v>82791.080503122896</v>
      </c>
      <c r="C24">
        <f>C23*EXP(RATES!O25)*(1-DATA!$B$6)</f>
        <v>20697.770125780724</v>
      </c>
      <c r="D24">
        <f t="shared" si="1"/>
        <v>103488.85062890362</v>
      </c>
      <c r="E24">
        <f>E23*(1-'LIFE TABLE MALE'!D84/1000)</f>
        <v>0.59231472133711305</v>
      </c>
      <c r="F24">
        <f t="shared" si="2"/>
        <v>2.8003761208561597E-2</v>
      </c>
      <c r="G24">
        <f t="shared" si="0"/>
        <v>103468.85062890362</v>
      </c>
      <c r="H24">
        <f>MAX(D24,DATA!$B$3)</f>
        <v>103488.85062890362</v>
      </c>
      <c r="I24">
        <f>G24*DATA!$B$7*F23*E24</f>
        <v>302.86622926895183</v>
      </c>
      <c r="J24">
        <f>H24*'LIFE TABLE MALE'!D84/1000*F23*E23</f>
        <v>126.50971531010892</v>
      </c>
      <c r="K24">
        <f>0</f>
        <v>0</v>
      </c>
      <c r="L24" s="43">
        <f>DATA!$B$8*((1+DATA!$B$9)^A23)*F24*E24</f>
        <v>1.2570209149054796</v>
      </c>
      <c r="M24">
        <f>B23*EXP(RATES!O25)*(DATA!$B$12)</f>
        <v>1185.148391660246</v>
      </c>
      <c r="N24">
        <f>C23*EXP(RATES!O25)*(DATA!$B$12)</f>
        <v>296.28709791506151</v>
      </c>
      <c r="O24">
        <f t="shared" si="3"/>
        <v>1481.4354895753077</v>
      </c>
      <c r="P24">
        <f t="shared" si="4"/>
        <v>24.57262974765662</v>
      </c>
      <c r="Q24">
        <f>RATES!G25</f>
        <v>0.59232660750473398</v>
      </c>
      <c r="R24" s="44">
        <f t="shared" si="5"/>
        <v>455.20559524162286</v>
      </c>
      <c r="S24">
        <f t="shared" si="6"/>
        <v>269.63038594664357</v>
      </c>
      <c r="T24">
        <f>C23*EXP(RATES!O25)*(DATA!$B$6-DATA!$B$12)</f>
        <v>169.30691309432083</v>
      </c>
      <c r="U24">
        <f>B23*EXP(RATES!O25)*(DATA!$B$6-DATA!$B$12)</f>
        <v>677.22765237728333</v>
      </c>
      <c r="V24">
        <f t="shared" si="7"/>
        <v>846.5345654716042</v>
      </c>
      <c r="W24">
        <f t="shared" si="8"/>
        <v>14.041502712946636</v>
      </c>
      <c r="X24">
        <f>W24*BASE!Q24</f>
        <v>8.3171556662281994</v>
      </c>
    </row>
    <row r="25" spans="1:24" x14ac:dyDescent="0.3">
      <c r="A25" s="5">
        <v>23</v>
      </c>
      <c r="B25">
        <f>B24*EXP(RATES!O26)*(1-DATA!$B$6)</f>
        <v>82994.7603613877</v>
      </c>
      <c r="C25">
        <f>C24*EXP(RATES!O26)*(1-DATA!$B$6)</f>
        <v>20748.690090346925</v>
      </c>
      <c r="D25">
        <f t="shared" si="1"/>
        <v>103743.45045173462</v>
      </c>
      <c r="E25">
        <f>E24*(1-'LIFE TABLE MALE'!D85/1000)</f>
        <v>0.55337807204311362</v>
      </c>
      <c r="F25">
        <f t="shared" si="2"/>
        <v>2.3803197027277356E-2</v>
      </c>
      <c r="G25">
        <f t="shared" si="0"/>
        <v>103723.45045173462</v>
      </c>
      <c r="H25">
        <f>MAX(D25,DATA!$B$3)</f>
        <v>103743.45045173462</v>
      </c>
      <c r="I25">
        <f>G25*DATA!$B$7*F24*E25</f>
        <v>241.10517179092614</v>
      </c>
      <c r="J25">
        <f>H25*'LIFE TABLE MALE'!D85/1000*F24*E24</f>
        <v>113.11901881999536</v>
      </c>
      <c r="K25">
        <f>0</f>
        <v>0</v>
      </c>
      <c r="L25" s="43">
        <f>DATA!$B$8*((1+DATA!$B$9)^A24)*F25*E25</f>
        <v>1.0181951417019046</v>
      </c>
      <c r="M25">
        <f>B24*EXP(RATES!O26)*(DATA!$B$12)</f>
        <v>1188.0640542529939</v>
      </c>
      <c r="N25">
        <f>C24*EXP(RATES!O26)*(DATA!$B$12)</f>
        <v>297.01601356324846</v>
      </c>
      <c r="O25">
        <f t="shared" si="3"/>
        <v>1485.0800678162423</v>
      </c>
      <c r="P25">
        <f t="shared" si="4"/>
        <v>19.561723076603659</v>
      </c>
      <c r="Q25">
        <f>RATES!G26</f>
        <v>0.57787375637469385</v>
      </c>
      <c r="R25" s="44">
        <f t="shared" si="5"/>
        <v>374.80410882922706</v>
      </c>
      <c r="S25">
        <f t="shared" si="6"/>
        <v>216.58945827381501</v>
      </c>
      <c r="T25">
        <f>C24*EXP(RATES!O26)*(DATA!$B$6-DATA!$B$12)</f>
        <v>169.72343632185621</v>
      </c>
      <c r="U25">
        <f>B24*EXP(RATES!O26)*(DATA!$B$6-DATA!$B$12)</f>
        <v>678.89374528742485</v>
      </c>
      <c r="V25">
        <f t="shared" si="7"/>
        <v>848.61718160928103</v>
      </c>
      <c r="W25">
        <f t="shared" si="8"/>
        <v>11.178127472344944</v>
      </c>
      <c r="X25">
        <f>W25*BASE!Q25</f>
        <v>6.4595465116791342</v>
      </c>
    </row>
    <row r="26" spans="1:24" x14ac:dyDescent="0.3">
      <c r="A26" s="5">
        <v>24</v>
      </c>
      <c r="B26">
        <f>B25*EXP(RATES!O27)*(1-DATA!$B$6)</f>
        <v>83283.464922455751</v>
      </c>
      <c r="C26">
        <f>C25*EXP(RATES!O27)*(1-DATA!$B$6)</f>
        <v>20820.866230613938</v>
      </c>
      <c r="D26">
        <f t="shared" si="1"/>
        <v>104104.33115306968</v>
      </c>
      <c r="E26">
        <f>E25*(1-'LIFE TABLE MALE'!D86/1000)</f>
        <v>0.51343281900708615</v>
      </c>
      <c r="F26">
        <f t="shared" si="2"/>
        <v>2.0232717473185752E-2</v>
      </c>
      <c r="G26">
        <f t="shared" si="0"/>
        <v>104084.33115306968</v>
      </c>
      <c r="H26">
        <f>MAX(D26,DATA!$B$3)</f>
        <v>104104.33115306968</v>
      </c>
      <c r="I26">
        <f>G26*DATA!$B$7*F25*E26</f>
        <v>190.80753978350825</v>
      </c>
      <c r="J26">
        <f>H26*'LIFE TABLE MALE'!D86/1000*F25*E25</f>
        <v>98.984972385658082</v>
      </c>
      <c r="K26">
        <f>0</f>
        <v>0</v>
      </c>
      <c r="L26" s="43">
        <f>DATA!$B$8*((1+DATA!$B$9)^A25)*F26*E26</f>
        <v>0.81905260824081461</v>
      </c>
      <c r="M26">
        <f>B25*EXP(RATES!O27)*(DATA!$B$12)</f>
        <v>1192.1968393807574</v>
      </c>
      <c r="N26">
        <f>C25*EXP(RATES!O27)*(DATA!$B$12)</f>
        <v>298.04920984518935</v>
      </c>
      <c r="O26">
        <f t="shared" si="3"/>
        <v>1490.2460492259468</v>
      </c>
      <c r="P26">
        <f t="shared" si="4"/>
        <v>15.480886335056736</v>
      </c>
      <c r="Q26">
        <f>RATES!G27</f>
        <v>0.56320138825489208</v>
      </c>
      <c r="R26" s="44">
        <f t="shared" si="5"/>
        <v>306.09245111246389</v>
      </c>
      <c r="S26">
        <f t="shared" si="6"/>
        <v>172.39169340088236</v>
      </c>
      <c r="T26">
        <f>C25*EXP(RATES!O27)*(DATA!$B$6-DATA!$B$12)</f>
        <v>170.313834197251</v>
      </c>
      <c r="U26">
        <f>B25*EXP(RATES!O27)*(DATA!$B$6-DATA!$B$12)</f>
        <v>681.25533678900399</v>
      </c>
      <c r="V26">
        <f t="shared" si="7"/>
        <v>851.56917098625502</v>
      </c>
      <c r="W26">
        <f t="shared" si="8"/>
        <v>8.8462207628895602</v>
      </c>
      <c r="X26">
        <f>W26*BASE!Q26</f>
        <v>4.9822038144686509</v>
      </c>
    </row>
    <row r="27" spans="1:24" x14ac:dyDescent="0.3">
      <c r="A27" s="6">
        <v>25</v>
      </c>
      <c r="B27">
        <f>B26*EXP(RATES!O28)*(1-DATA!$B$6)</f>
        <v>83627.029768984285</v>
      </c>
      <c r="C27">
        <f>C26*EXP(RATES!O28)*(1-DATA!$B$6)</f>
        <v>20906.757442246071</v>
      </c>
      <c r="D27">
        <f t="shared" si="1"/>
        <v>104533.78721123036</v>
      </c>
      <c r="E27">
        <f>E26*(1-'LIFE TABLE MALE'!D87/1000)</f>
        <v>0.47171264926885342</v>
      </c>
      <c r="F27">
        <f t="shared" si="2"/>
        <v>1.7197809852207889E-2</v>
      </c>
      <c r="G27">
        <f t="shared" si="0"/>
        <v>104513.78721123036</v>
      </c>
      <c r="H27">
        <f>MAX(D27,DATA!$B$3)</f>
        <v>104533.78721123036</v>
      </c>
      <c r="I27">
        <f>G27*DATA!$B$7*F26*E27</f>
        <v>149.62238866264758</v>
      </c>
      <c r="J27">
        <f>H27*'LIFE TABLE MALE'!D87/1000*F26*E26</f>
        <v>88.238266761519</v>
      </c>
      <c r="K27">
        <f>0</f>
        <v>0</v>
      </c>
      <c r="L27" s="43">
        <f>DATA!$B$8*((1+DATA!$B$9)^A26)*F27*E27</f>
        <v>0.65241628320597345</v>
      </c>
      <c r="M27">
        <f>B26*EXP(RATES!O28)*(DATA!$B$12)</f>
        <v>1197.1149455682821</v>
      </c>
      <c r="N27">
        <f>C26*EXP(RATES!O28)*(DATA!$B$12)</f>
        <v>299.27873639207053</v>
      </c>
      <c r="O27">
        <f t="shared" si="3"/>
        <v>1496.3936819603528</v>
      </c>
      <c r="P27">
        <f t="shared" si="4"/>
        <v>12.139380687881941</v>
      </c>
      <c r="Q27">
        <f>RATES!G28</f>
        <v>0.54854806158178537</v>
      </c>
      <c r="R27" s="44">
        <f t="shared" si="5"/>
        <v>250.6524523952545</v>
      </c>
      <c r="S27">
        <f t="shared" si="6"/>
        <v>137.49491689213758</v>
      </c>
      <c r="T27">
        <f>C26*EXP(RATES!O28)*(DATA!$B$6-DATA!$B$12)</f>
        <v>171.01642079546883</v>
      </c>
      <c r="U27">
        <f>B26*EXP(RATES!O28)*(DATA!$B$6-DATA!$B$12)</f>
        <v>684.06568318187533</v>
      </c>
      <c r="V27">
        <f t="shared" si="7"/>
        <v>855.0821039773441</v>
      </c>
      <c r="W27">
        <f t="shared" si="8"/>
        <v>6.9367889645039638</v>
      </c>
      <c r="X27">
        <f>W27*BASE!Q27</f>
        <v>3.8051621400805695</v>
      </c>
    </row>
    <row r="28" spans="1:24" x14ac:dyDescent="0.3">
      <c r="A28" s="5">
        <v>26</v>
      </c>
      <c r="B28">
        <f>B27*EXP(RATES!O29)*(1-DATA!$B$6)</f>
        <v>84031.033003797333</v>
      </c>
      <c r="C28">
        <f>C27*EXP(RATES!O29)*(1-DATA!$B$6)</f>
        <v>21007.758250949333</v>
      </c>
      <c r="D28">
        <f t="shared" si="1"/>
        <v>105038.79125474667</v>
      </c>
      <c r="E28">
        <f>E27*(1-'LIFE TABLE MALE'!D88/1000)</f>
        <v>0.42801338755989954</v>
      </c>
      <c r="F28">
        <f t="shared" si="2"/>
        <v>1.4618138374376706E-2</v>
      </c>
      <c r="G28">
        <f t="shared" si="0"/>
        <v>105018.79125474667</v>
      </c>
      <c r="H28">
        <f>MAX(D28,DATA!$B$3)</f>
        <v>105038.79125474667</v>
      </c>
      <c r="I28">
        <f>G28*DATA!$B$7*F27*E28</f>
        <v>115.95481050382442</v>
      </c>
      <c r="J28">
        <f>H28*'LIFE TABLE MALE'!D88/1000*F27*E27</f>
        <v>78.939970176503778</v>
      </c>
      <c r="K28">
        <f>0</f>
        <v>0</v>
      </c>
      <c r="L28" s="43">
        <f>DATA!$B$8*((1+DATA!$B$9)^A27)*F28*E28</f>
        <v>0.51324380994957775</v>
      </c>
      <c r="M28">
        <f>B27*EXP(RATES!O29)*(DATA!$B$12)</f>
        <v>1202.8982229582439</v>
      </c>
      <c r="N28">
        <f>C27*EXP(RATES!O29)*(DATA!$B$12)</f>
        <v>300.72455573956097</v>
      </c>
      <c r="O28">
        <f t="shared" si="3"/>
        <v>1503.6227786978047</v>
      </c>
      <c r="P28">
        <f t="shared" si="4"/>
        <v>9.4078052411068764</v>
      </c>
      <c r="Q28">
        <f>RATES!G29</f>
        <v>0.53390072310461278</v>
      </c>
      <c r="R28" s="44">
        <f t="shared" si="5"/>
        <v>204.81582973138467</v>
      </c>
      <c r="S28">
        <f t="shared" si="6"/>
        <v>109.35131959685752</v>
      </c>
      <c r="T28">
        <f>C27*EXP(RATES!O29)*(DATA!$B$6-DATA!$B$12)</f>
        <v>171.84260327974911</v>
      </c>
      <c r="U28">
        <f>B27*EXP(RATES!O29)*(DATA!$B$6-DATA!$B$12)</f>
        <v>687.37041311899645</v>
      </c>
      <c r="V28">
        <f t="shared" si="7"/>
        <v>859.21301639874559</v>
      </c>
      <c r="W28">
        <f t="shared" si="8"/>
        <v>5.3758887092039291</v>
      </c>
      <c r="X28">
        <f>W28*BASE!Q28</f>
        <v>2.8701908691739013</v>
      </c>
    </row>
    <row r="29" spans="1:24" x14ac:dyDescent="0.3">
      <c r="A29" s="5">
        <v>27</v>
      </c>
      <c r="B29">
        <f>B28*EXP(RATES!O30)*(1-DATA!$B$6)</f>
        <v>84501.26690690004</v>
      </c>
      <c r="C29">
        <f>C28*EXP(RATES!O30)*(1-DATA!$B$6)</f>
        <v>21125.31672672501</v>
      </c>
      <c r="D29">
        <f t="shared" si="1"/>
        <v>105626.58363362505</v>
      </c>
      <c r="E29">
        <f>E28*(1-'LIFE TABLE MALE'!D89/1000)</f>
        <v>0.3822153558722477</v>
      </c>
      <c r="F29">
        <f t="shared" si="2"/>
        <v>1.24254176182202E-2</v>
      </c>
      <c r="G29">
        <f t="shared" si="0"/>
        <v>105606.58363362505</v>
      </c>
      <c r="H29">
        <f>MAX(D29,DATA!$B$3)</f>
        <v>105626.58363362505</v>
      </c>
      <c r="I29">
        <f>G29*DATA!$B$7*F28*E29</f>
        <v>88.507984749152996</v>
      </c>
      <c r="J29">
        <f>H29*'LIFE TABLE MALE'!D89/1000*F28*E28</f>
        <v>70.715092712792227</v>
      </c>
      <c r="K29">
        <f>0</f>
        <v>0</v>
      </c>
      <c r="L29" s="43">
        <f>DATA!$B$8*((1+DATA!$B$9)^A28)*F29*E29</f>
        <v>0.39736864524573495</v>
      </c>
      <c r="M29">
        <f>B28*EXP(RATES!O30)*(DATA!$B$12)</f>
        <v>1209.629587624336</v>
      </c>
      <c r="N29">
        <f>C28*EXP(RATES!O30)*(DATA!$B$12)</f>
        <v>302.40739690608399</v>
      </c>
      <c r="O29">
        <f t="shared" si="3"/>
        <v>1512.0369845304199</v>
      </c>
      <c r="P29">
        <f t="shared" si="4"/>
        <v>7.1809439966082254</v>
      </c>
      <c r="Q29">
        <f>RATES!G30</f>
        <v>0.51924921182601969</v>
      </c>
      <c r="R29" s="44">
        <f t="shared" si="5"/>
        <v>166.80139010379918</v>
      </c>
      <c r="S29">
        <f t="shared" si="6"/>
        <v>86.611490342882163</v>
      </c>
      <c r="T29">
        <f>C28*EXP(RATES!O30)*(DATA!$B$6-DATA!$B$12)</f>
        <v>172.80422680347655</v>
      </c>
      <c r="U29">
        <f>B28*EXP(RATES!O30)*(DATA!$B$6-DATA!$B$12)</f>
        <v>691.21690721390621</v>
      </c>
      <c r="V29">
        <f t="shared" si="7"/>
        <v>864.02113401738279</v>
      </c>
      <c r="W29">
        <f t="shared" si="8"/>
        <v>4.103396569490414</v>
      </c>
      <c r="X29">
        <f>W29*BASE!Q29</f>
        <v>2.1306854345174906</v>
      </c>
    </row>
    <row r="30" spans="1:24" x14ac:dyDescent="0.3">
      <c r="A30" s="5">
        <v>28</v>
      </c>
      <c r="B30">
        <f>B29*EXP(RATES!O31)*(1-DATA!$B$6)</f>
        <v>85020.543140026202</v>
      </c>
      <c r="C30">
        <f>C29*EXP(RATES!O31)*(1-DATA!$B$6)</f>
        <v>21255.135785006551</v>
      </c>
      <c r="D30">
        <f t="shared" si="1"/>
        <v>106275.67892503276</v>
      </c>
      <c r="E30">
        <f>E29*(1-'LIFE TABLE MALE'!D90/1000)</f>
        <v>0.3354839253397483</v>
      </c>
      <c r="F30">
        <f t="shared" si="2"/>
        <v>1.0561604975487169E-2</v>
      </c>
      <c r="G30">
        <f t="shared" si="0"/>
        <v>106255.67892503276</v>
      </c>
      <c r="H30">
        <f>MAX(D30,DATA!$B$3)</f>
        <v>106275.67892503276</v>
      </c>
      <c r="I30">
        <f>G30*DATA!$B$7*F29*E30</f>
        <v>66.439463946050893</v>
      </c>
      <c r="J30">
        <f>H30*'LIFE TABLE MALE'!D90/1000*F29*E29</f>
        <v>61.709774314405927</v>
      </c>
      <c r="K30">
        <f>0</f>
        <v>0</v>
      </c>
      <c r="L30" s="43">
        <f>DATA!$B$8*((1+DATA!$B$9)^A29)*F30*E30</f>
        <v>0.3023961640490706</v>
      </c>
      <c r="M30">
        <f>B29*EXP(RATES!O31)*(DATA!$B$12)</f>
        <v>1217.0629897345264</v>
      </c>
      <c r="N30">
        <f>C29*EXP(RATES!O31)*(DATA!$B$12)</f>
        <v>304.26574743363159</v>
      </c>
      <c r="O30">
        <f t="shared" si="3"/>
        <v>1521.3287371681579</v>
      </c>
      <c r="P30">
        <f t="shared" si="4"/>
        <v>5.3904460627348207</v>
      </c>
      <c r="Q30">
        <f>RATES!G31</f>
        <v>0.50472410428806358</v>
      </c>
      <c r="R30" s="44">
        <f t="shared" si="5"/>
        <v>133.84208048724071</v>
      </c>
      <c r="S30">
        <f t="shared" si="6"/>
        <v>67.55332418997348</v>
      </c>
      <c r="T30">
        <f>C29*EXP(RATES!O31)*(DATA!$B$6-DATA!$B$12)</f>
        <v>173.86614139064659</v>
      </c>
      <c r="U30">
        <f>B29*EXP(RATES!O31)*(DATA!$B$6-DATA!$B$12)</f>
        <v>695.46456556258636</v>
      </c>
      <c r="V30">
        <f t="shared" si="7"/>
        <v>869.33070695323295</v>
      </c>
      <c r="W30">
        <f t="shared" si="8"/>
        <v>3.0802548929913263</v>
      </c>
      <c r="X30">
        <f>W30*BASE!Q30</f>
        <v>1.5546788918439722</v>
      </c>
    </row>
    <row r="31" spans="1:24" x14ac:dyDescent="0.3">
      <c r="A31" s="5">
        <v>29</v>
      </c>
      <c r="B31">
        <f>B30*EXP(RATES!O32)*(1-DATA!$B$6)</f>
        <v>85568.006571671765</v>
      </c>
      <c r="C31">
        <f>C30*EXP(RATES!O32)*(1-DATA!$B$6)</f>
        <v>21392.001642917941</v>
      </c>
      <c r="D31">
        <f t="shared" si="1"/>
        <v>106960.0082145897</v>
      </c>
      <c r="E31">
        <f>E30*(1-'LIFE TABLE MALE'!D91/1000)</f>
        <v>0.28855663850841878</v>
      </c>
      <c r="F31">
        <f t="shared" si="2"/>
        <v>8.9773642291640938E-3</v>
      </c>
      <c r="G31">
        <f t="shared" si="0"/>
        <v>106940.0082145897</v>
      </c>
      <c r="H31">
        <f>MAX(D31,DATA!$B$3)</f>
        <v>106960.0082145897</v>
      </c>
      <c r="I31">
        <f>G31*DATA!$B$7*F30*E31</f>
        <v>48.886895889317778</v>
      </c>
      <c r="J31">
        <f>H31*'LIFE TABLE MALE'!D91/1000*F30*E30</f>
        <v>53.012317843708459</v>
      </c>
      <c r="K31">
        <f>0</f>
        <v>0</v>
      </c>
      <c r="L31" s="43">
        <f>DATA!$B$8*((1+DATA!$B$9)^A30)*F31*E31</f>
        <v>0.225504249063435</v>
      </c>
      <c r="M31">
        <f>B30*EXP(RATES!O32)*(DATA!$B$12)</f>
        <v>1224.8998895740335</v>
      </c>
      <c r="N31">
        <f>C30*EXP(RATES!O32)*(DATA!$B$12)</f>
        <v>306.22497239350838</v>
      </c>
      <c r="O31">
        <f t="shared" si="3"/>
        <v>1531.1248619675418</v>
      </c>
      <c r="P31">
        <f t="shared" si="4"/>
        <v>3.9663453385191292</v>
      </c>
      <c r="Q31">
        <f>RATES!G32</f>
        <v>0.49046199601095725</v>
      </c>
      <c r="R31" s="45">
        <f t="shared" si="5"/>
        <v>106.09106332060881</v>
      </c>
      <c r="S31">
        <f t="shared" si="6"/>
        <v>52.033634675150651</v>
      </c>
      <c r="T31">
        <f>C30*EXP(RATES!O32)*(DATA!$B$6-DATA!$B$12)</f>
        <v>174.98569851057619</v>
      </c>
      <c r="U31">
        <f>B30*EXP(RATES!O32)*(DATA!$B$6-DATA!$B$12)</f>
        <v>699.94279404230474</v>
      </c>
      <c r="V31">
        <f t="shared" si="7"/>
        <v>874.92849255288093</v>
      </c>
      <c r="W31">
        <f t="shared" si="8"/>
        <v>2.2664830505823592</v>
      </c>
      <c r="X31">
        <f>W31*BASE!Q31</f>
        <v>1.1116238009136272</v>
      </c>
    </row>
    <row r="32" spans="1:24" x14ac:dyDescent="0.3">
      <c r="A32" s="6">
        <v>30</v>
      </c>
      <c r="B32">
        <f>B31*EXP(RATES!O33)*(1-DATA!$B$6)</f>
        <v>86144.154157072146</v>
      </c>
      <c r="C32">
        <f>C31*EXP(RATES!O33)*(1-DATA!$B$6)</f>
        <v>21536.038539268036</v>
      </c>
      <c r="D32">
        <f t="shared" si="1"/>
        <v>107680.19269634018</v>
      </c>
      <c r="E32">
        <f>E31*(1-'LIFE TABLE MALE'!D92/1000)</f>
        <v>0.24237802223677077</v>
      </c>
      <c r="F32">
        <f t="shared" si="2"/>
        <v>7.6307595947894798E-3</v>
      </c>
      <c r="G32">
        <f t="shared" si="0"/>
        <v>107660.19269634018</v>
      </c>
      <c r="H32">
        <f>MAX(D32,DATA!$B$3)</f>
        <v>107680.19269634018</v>
      </c>
      <c r="I32">
        <f>G32*DATA!$B$7*F31*E32</f>
        <v>35.138926934101924</v>
      </c>
      <c r="J32">
        <f>H32*'LIFE TABLE MALE'!D92/1000*F31*E31</f>
        <v>44.640143812005554</v>
      </c>
      <c r="K32">
        <f>0</f>
        <v>0</v>
      </c>
      <c r="L32" s="43">
        <f>DATA!$B$8*((1+DATA!$B$9)^A31)*F32*E32</f>
        <v>0.16422376109950826</v>
      </c>
      <c r="M32">
        <f>B31*EXP(RATES!O33)*(DATA!$B$12)</f>
        <v>1233.1474010214827</v>
      </c>
      <c r="N32">
        <f>C31*EXP(RATES!O33)*(DATA!$B$12)</f>
        <v>308.28685025537067</v>
      </c>
      <c r="O32">
        <f t="shared" si="3"/>
        <v>1541.4342512768533</v>
      </c>
      <c r="P32">
        <f t="shared" si="4"/>
        <v>2.8509264533701457</v>
      </c>
      <c r="Q32">
        <f>RATES!G33</f>
        <v>0.47646370067584165</v>
      </c>
      <c r="R32" s="45">
        <f t="shared" si="5"/>
        <v>82.794220960577135</v>
      </c>
      <c r="S32">
        <f t="shared" si="6"/>
        <v>39.448440913449922</v>
      </c>
      <c r="T32">
        <f>C31*EXP(RATES!O33)*(DATA!$B$6-DATA!$B$12)</f>
        <v>176.16391443164034</v>
      </c>
      <c r="U32">
        <f>B31*EXP(RATES!O33)*(DATA!$B$6-DATA!$B$12)</f>
        <v>704.65565772656134</v>
      </c>
      <c r="V32">
        <f t="shared" si="7"/>
        <v>880.81957215820171</v>
      </c>
      <c r="W32">
        <f t="shared" si="8"/>
        <v>1.6291008304972259</v>
      </c>
      <c r="X32">
        <f>W32*BASE!Q32</f>
        <v>0.77620741047279529</v>
      </c>
    </row>
    <row r="33" spans="1:24" x14ac:dyDescent="0.3">
      <c r="A33" s="5">
        <v>31</v>
      </c>
      <c r="B33">
        <f>B32*EXP(RATES!O34)*(1-DATA!$B$6)</f>
        <v>86775.747166721878</v>
      </c>
      <c r="C33">
        <f>C32*EXP(RATES!O34)*(1-DATA!$B$6)</f>
        <v>21693.936791680469</v>
      </c>
      <c r="D33">
        <f t="shared" si="1"/>
        <v>108469.68395840234</v>
      </c>
      <c r="E33">
        <f>E32*(1-'LIFE TABLE MALE'!D93/1000)</f>
        <v>0.19856609087624141</v>
      </c>
      <c r="F33">
        <f t="shared" si="2"/>
        <v>6.486145655571058E-3</v>
      </c>
      <c r="G33">
        <f t="shared" si="0"/>
        <v>108449.68395840234</v>
      </c>
      <c r="H33">
        <f>MAX(D33,DATA!$B$3)</f>
        <v>108469.68395840234</v>
      </c>
      <c r="I33">
        <f>G33*DATA!$B$7*F32*E33</f>
        <v>24.648608522639851</v>
      </c>
      <c r="J33">
        <f>H33*'LIFE TABLE MALE'!D93/1000*F32*E32</f>
        <v>36.26340203416202</v>
      </c>
      <c r="K33">
        <f>0</f>
        <v>0</v>
      </c>
      <c r="L33" s="43">
        <f>DATA!$B$8*((1+DATA!$B$9)^A32)*F33*E33</f>
        <v>0.11664521833966186</v>
      </c>
      <c r="M33">
        <f>B32*EXP(RATES!O34)*(DATA!$B$12)</f>
        <v>1242.1886097485749</v>
      </c>
      <c r="N33">
        <f>C32*EXP(RATES!O34)*(DATA!$B$12)</f>
        <v>310.54715243714372</v>
      </c>
      <c r="O33">
        <f t="shared" si="3"/>
        <v>1552.7357621857186</v>
      </c>
      <c r="P33">
        <f t="shared" si="4"/>
        <v>1.9998127772331076</v>
      </c>
      <c r="Q33">
        <f>RATES!G34</f>
        <v>0.46258987582736705</v>
      </c>
      <c r="R33" s="45">
        <f t="shared" si="5"/>
        <v>63.028468552374633</v>
      </c>
      <c r="S33">
        <f t="shared" si="6"/>
        <v>29.156331441232091</v>
      </c>
      <c r="T33">
        <f>C32*EXP(RATES!O34)*(DATA!$B$6-DATA!$B$12)</f>
        <v>177.45551567836782</v>
      </c>
      <c r="U33">
        <f>B32*EXP(RATES!O34)*(DATA!$B$6-DATA!$B$12)</f>
        <v>709.82206271347127</v>
      </c>
      <c r="V33">
        <f t="shared" si="7"/>
        <v>887.27757839183914</v>
      </c>
      <c r="W33">
        <f t="shared" si="8"/>
        <v>1.1427501584189184</v>
      </c>
      <c r="X33">
        <f>W33*BASE!Q33</f>
        <v>0.52862465388471147</v>
      </c>
    </row>
    <row r="34" spans="1:24" x14ac:dyDescent="0.3">
      <c r="A34" s="5">
        <v>32</v>
      </c>
      <c r="B34">
        <f>B33*EXP(RATES!O35)*(1-DATA!$B$6)</f>
        <v>87439.193933082599</v>
      </c>
      <c r="C34">
        <f>C33*EXP(RATES!O35)*(1-DATA!$B$6)</f>
        <v>21859.79848327065</v>
      </c>
      <c r="D34">
        <f t="shared" si="1"/>
        <v>109298.99241635326</v>
      </c>
      <c r="E34">
        <f>E33*(1-'LIFE TABLE MALE'!D94/1000)</f>
        <v>0.15881442037749494</v>
      </c>
      <c r="F34">
        <f t="shared" si="2"/>
        <v>5.5132238072353994E-3</v>
      </c>
      <c r="G34">
        <f t="shared" si="0"/>
        <v>109278.99241635326</v>
      </c>
      <c r="H34">
        <f>MAX(D34,DATA!$B$3)</f>
        <v>109298.99241635326</v>
      </c>
      <c r="I34">
        <f>G34*DATA!$B$7*F33*E34</f>
        <v>16.885136355984457</v>
      </c>
      <c r="J34">
        <f>H34*'LIFE TABLE MALE'!D94/1000*F33*E33</f>
        <v>28.181119361894616</v>
      </c>
      <c r="K34">
        <f>0</f>
        <v>0</v>
      </c>
      <c r="L34" s="43">
        <f>DATA!$B$8*((1+DATA!$B$9)^A33)*F34*E34</f>
        <v>8.0885539343946641E-2</v>
      </c>
      <c r="M34">
        <f>B33*EXP(RATES!O35)*(DATA!$B$12)</f>
        <v>1251.6858027230637</v>
      </c>
      <c r="N34">
        <f>C33*EXP(RATES!O35)*(DATA!$B$12)</f>
        <v>312.92145068076593</v>
      </c>
      <c r="O34">
        <f t="shared" si="3"/>
        <v>1564.6072534038296</v>
      </c>
      <c r="P34">
        <f t="shared" si="4"/>
        <v>1.3699379480084255</v>
      </c>
      <c r="Q34">
        <f>RATES!G35</f>
        <v>0.44898020595178956</v>
      </c>
      <c r="R34" s="45">
        <f t="shared" si="5"/>
        <v>46.517079205231447</v>
      </c>
      <c r="S34">
        <f t="shared" si="6"/>
        <v>20.885247801840521</v>
      </c>
      <c r="T34">
        <f>C33*EXP(RATES!O35)*(DATA!$B$6-DATA!$B$12)</f>
        <v>178.81225753186621</v>
      </c>
      <c r="U34">
        <f>B33*EXP(RATES!O35)*(DATA!$B$6-DATA!$B$12)</f>
        <v>715.24903012746483</v>
      </c>
      <c r="V34">
        <f t="shared" si="7"/>
        <v>894.06128765933101</v>
      </c>
      <c r="W34">
        <f t="shared" si="8"/>
        <v>0.78282168457624302</v>
      </c>
      <c r="X34">
        <f>W34*BASE!Q34</f>
        <v>0.35147144116456841</v>
      </c>
    </row>
    <row r="35" spans="1:24" x14ac:dyDescent="0.3">
      <c r="A35" s="5">
        <v>33</v>
      </c>
      <c r="B35">
        <f>B34*EXP(RATES!O36)*(1-DATA!$B$6)</f>
        <v>88135.146395904914</v>
      </c>
      <c r="C35">
        <f>C34*EXP(RATES!O36)*(1-DATA!$B$6)</f>
        <v>22033.786598976229</v>
      </c>
      <c r="D35">
        <f t="shared" si="1"/>
        <v>110168.93299488115</v>
      </c>
      <c r="E35">
        <f>E34*(1-'LIFE TABLE MALE'!D95/1000)</f>
        <v>0.12312953954799613</v>
      </c>
      <c r="F35">
        <f t="shared" si="2"/>
        <v>4.6862402361500894E-3</v>
      </c>
      <c r="G35">
        <f t="shared" si="0"/>
        <v>110148.93299488115</v>
      </c>
      <c r="H35">
        <f>MAX(D35,DATA!$B$3)</f>
        <v>110168.93299488115</v>
      </c>
      <c r="I35">
        <f>G35*DATA!$B$7*F34*E35</f>
        <v>11.216036962335638</v>
      </c>
      <c r="J35">
        <f>H35*'LIFE TABLE MALE'!D95/1000*F34*E34</f>
        <v>21.674496463866848</v>
      </c>
      <c r="K35">
        <f>0</f>
        <v>0</v>
      </c>
      <c r="L35" s="43">
        <f>DATA!$B$8*((1+DATA!$B$9)^A34)*F35*E35</f>
        <v>5.4370372031229353E-2</v>
      </c>
      <c r="M35">
        <f>B34*EXP(RATES!O36)*(DATA!$B$12)</f>
        <v>1261.6483124158169</v>
      </c>
      <c r="N35">
        <f>C34*EXP(RATES!O36)*(DATA!$B$12)</f>
        <v>315.41207810395423</v>
      </c>
      <c r="O35">
        <f t="shared" si="3"/>
        <v>1577.0603905197711</v>
      </c>
      <c r="P35">
        <f t="shared" si="4"/>
        <v>0.90998687433605041</v>
      </c>
      <c r="Q35">
        <f>RATES!G36</f>
        <v>0.43563530089638008</v>
      </c>
      <c r="R35" s="45">
        <f t="shared" si="5"/>
        <v>33.854890672569766</v>
      </c>
      <c r="S35">
        <f t="shared" si="6"/>
        <v>14.748385484958982</v>
      </c>
      <c r="T35">
        <f>C34*EXP(RATES!O36)*(DATA!$B$6-DATA!$B$12)</f>
        <v>180.2354732022595</v>
      </c>
      <c r="U35">
        <f>B34*EXP(RATES!O36)*(DATA!$B$6-DATA!$B$12)</f>
        <v>720.94189280903799</v>
      </c>
      <c r="V35">
        <f t="shared" si="7"/>
        <v>901.17736601129752</v>
      </c>
      <c r="W35">
        <f t="shared" si="8"/>
        <v>0.51999249962060012</v>
      </c>
      <c r="X35">
        <f>W35*BASE!Q35</f>
        <v>0.22652708903608093</v>
      </c>
    </row>
    <row r="36" spans="1:24" x14ac:dyDescent="0.3">
      <c r="A36" s="5">
        <v>34</v>
      </c>
      <c r="B36">
        <f>B35*EXP(RATES!O37)*(1-DATA!$B$6)</f>
        <v>88864.291917679613</v>
      </c>
      <c r="C36">
        <f>C35*EXP(RATES!O37)*(1-DATA!$B$6)</f>
        <v>22216.072979419903</v>
      </c>
      <c r="D36">
        <f t="shared" si="1"/>
        <v>111080.36489709951</v>
      </c>
      <c r="E36">
        <f>E35*(1-'LIFE TABLE MALE'!D96/1000)</f>
        <v>9.2839740540435839E-2</v>
      </c>
      <c r="F36">
        <f t="shared" si="2"/>
        <v>3.9833042007275761E-3</v>
      </c>
      <c r="G36">
        <f t="shared" si="0"/>
        <v>111060.36489709951</v>
      </c>
      <c r="H36">
        <f>MAX(D36,DATA!$B$3)</f>
        <v>111080.36489709951</v>
      </c>
      <c r="I36">
        <f>G36*DATA!$B$7*F35*E36</f>
        <v>7.2478437423905806</v>
      </c>
      <c r="J36">
        <f>H36*'LIFE TABLE MALE'!D96/1000*F35*E35</f>
        <v>15.767332926215635</v>
      </c>
      <c r="K36">
        <f>0</f>
        <v>0</v>
      </c>
      <c r="L36" s="43">
        <f>DATA!$B$8*((1+DATA!$B$9)^A35)*F36*E36</f>
        <v>3.5542916790023096E-2</v>
      </c>
      <c r="M36">
        <f>B35*EXP(RATES!O37)*(DATA!$B$12)</f>
        <v>1272.0859783716919</v>
      </c>
      <c r="N36">
        <f>C35*EXP(RATES!O37)*(DATA!$B$12)</f>
        <v>318.02149459292298</v>
      </c>
      <c r="O36">
        <f t="shared" si="3"/>
        <v>1590.1074729646148</v>
      </c>
      <c r="P36">
        <f t="shared" si="4"/>
        <v>0.58803594075967602</v>
      </c>
      <c r="Q36">
        <f>RATES!G37</f>
        <v>0.42255550600771669</v>
      </c>
      <c r="R36" s="45">
        <f t="shared" si="5"/>
        <v>23.638755526155919</v>
      </c>
      <c r="S36">
        <f t="shared" si="6"/>
        <v>9.9886863027475226</v>
      </c>
      <c r="T36">
        <f>C35*EXP(RATES!O37)*(DATA!$B$6-DATA!$B$12)</f>
        <v>181.72656833881308</v>
      </c>
      <c r="U36">
        <f>B35*EXP(RATES!O37)*(DATA!$B$6-DATA!$B$12)</f>
        <v>726.90627335525232</v>
      </c>
      <c r="V36">
        <f t="shared" si="7"/>
        <v>908.63284169406541</v>
      </c>
      <c r="W36">
        <f t="shared" si="8"/>
        <v>0.33602053757695766</v>
      </c>
      <c r="X36">
        <f>W36*BASE!Q36</f>
        <v>0.14198732828481633</v>
      </c>
    </row>
    <row r="37" spans="1:24" x14ac:dyDescent="0.3">
      <c r="A37" s="6">
        <v>35</v>
      </c>
      <c r="B37">
        <f>B36*EXP(RATES!O38)*(1-DATA!$B$6)</f>
        <v>89596.779479446108</v>
      </c>
      <c r="C37">
        <f>C36*EXP(RATES!O38)*(1-DATA!$B$6)</f>
        <v>22399.194869861527</v>
      </c>
      <c r="D37">
        <f t="shared" si="1"/>
        <v>111995.97434930764</v>
      </c>
      <c r="E37">
        <f>E36*(1-'LIFE TABLE MALE'!D97/1000)</f>
        <v>6.7251448072930861E-2</v>
      </c>
      <c r="F37">
        <f t="shared" si="2"/>
        <v>3.3858085706184394E-3</v>
      </c>
      <c r="G37">
        <f t="shared" si="0"/>
        <v>111975.97434930764</v>
      </c>
      <c r="H37">
        <f>MAX(D37,DATA!$B$3)</f>
        <v>111995.97434930764</v>
      </c>
      <c r="I37">
        <f>G37*DATA!$B$7*F36*E37</f>
        <v>4.4994685808940416</v>
      </c>
      <c r="J37">
        <f>H37*'LIFE TABLE MALE'!D97/1000*F36*E36</f>
        <v>11.415296403746177</v>
      </c>
      <c r="K37">
        <f>0</f>
        <v>0</v>
      </c>
      <c r="L37" s="43">
        <f>DATA!$B$8*((1+DATA!$B$9)^A36)*F37*E37</f>
        <v>2.232234851110023E-2</v>
      </c>
      <c r="M37">
        <f>B36*EXP(RATES!O38)*(DATA!$B$12)</f>
        <v>1282.5714853908441</v>
      </c>
      <c r="N37">
        <f>C36*EXP(RATES!O38)*(DATA!$B$12)</f>
        <v>320.64287134771104</v>
      </c>
      <c r="O37">
        <f t="shared" si="3"/>
        <v>1603.2143567385551</v>
      </c>
      <c r="P37">
        <f t="shared" si="4"/>
        <v>0.36505275756556588</v>
      </c>
      <c r="Q37">
        <f>RATES!G38</f>
        <v>0.40988073390848567</v>
      </c>
      <c r="R37" s="45">
        <f t="shared" si="5"/>
        <v>16.302140090716886</v>
      </c>
      <c r="S37">
        <f t="shared" si="6"/>
        <v>6.6819331446619845</v>
      </c>
      <c r="T37">
        <f>C36*EXP(RATES!O38)*(DATA!$B$6-DATA!$B$12)</f>
        <v>183.22449791297771</v>
      </c>
      <c r="U37">
        <f>B36*EXP(RATES!O38)*(DATA!$B$6-DATA!$B$12)</f>
        <v>732.89799165191084</v>
      </c>
      <c r="V37">
        <f t="shared" si="7"/>
        <v>916.12248956488861</v>
      </c>
      <c r="W37">
        <f t="shared" si="8"/>
        <v>0.20860157575175189</v>
      </c>
      <c r="X37">
        <f>W37*BASE!Q37</f>
        <v>8.5501766963594641E-2</v>
      </c>
    </row>
    <row r="38" spans="1:24" x14ac:dyDescent="0.3">
      <c r="A38" s="5">
        <v>36</v>
      </c>
      <c r="B38">
        <f>B37*EXP(RATES!O39)*(1-DATA!$B$6)</f>
        <v>90361.659728555722</v>
      </c>
      <c r="C38">
        <f>C37*EXP(RATES!O39)*(1-DATA!$B$6)</f>
        <v>22590.41493213893</v>
      </c>
      <c r="D38">
        <f t="shared" si="1"/>
        <v>112952.07466069465</v>
      </c>
      <c r="E38">
        <f>E37*(1-'LIFE TABLE MALE'!D98/1000)</f>
        <v>4.6702066009128955E-2</v>
      </c>
      <c r="F38">
        <f t="shared" si="2"/>
        <v>2.8779372850256733E-3</v>
      </c>
      <c r="G38">
        <f t="shared" si="0"/>
        <v>112932.07466069465</v>
      </c>
      <c r="H38">
        <f>MAX(D38,DATA!$B$3)</f>
        <v>112952.07466069465</v>
      </c>
      <c r="I38">
        <f>G38*DATA!$B$7*F37*E38</f>
        <v>2.6785950317854295</v>
      </c>
      <c r="J38">
        <f>H38*'LIFE TABLE MALE'!D98/1000*F37*E37</f>
        <v>7.8587844855814062</v>
      </c>
      <c r="K38">
        <f>0</f>
        <v>0</v>
      </c>
      <c r="L38" s="43">
        <f>DATA!$B$8*((1+DATA!$B$9)^A37)*F38*E38</f>
        <v>1.3439819468412492E-2</v>
      </c>
      <c r="M38">
        <f>B37*EXP(RATES!O39)*(DATA!$B$12)</f>
        <v>1293.520691410818</v>
      </c>
      <c r="N38">
        <f>C37*EXP(RATES!O39)*(DATA!$B$12)</f>
        <v>323.3801728527045</v>
      </c>
      <c r="O38">
        <f t="shared" si="3"/>
        <v>1616.9008642635226</v>
      </c>
      <c r="P38">
        <f t="shared" si="4"/>
        <v>0.21732055837875217</v>
      </c>
      <c r="Q38">
        <f>RATES!G39</f>
        <v>0.39747018785099719</v>
      </c>
      <c r="R38" s="46">
        <f t="shared" si="5"/>
        <v>10.768139895214</v>
      </c>
      <c r="S38">
        <f t="shared" si="6"/>
        <v>4.2800145869565256</v>
      </c>
      <c r="T38">
        <f>C37*EXP(RATES!O39)*(DATA!$B$6-DATA!$B$12)</f>
        <v>184.78867020154539</v>
      </c>
      <c r="U38">
        <f>B37*EXP(RATES!O39)*(DATA!$B$6-DATA!$B$12)</f>
        <v>739.15468080618155</v>
      </c>
      <c r="V38">
        <f t="shared" si="7"/>
        <v>923.94335100772696</v>
      </c>
      <c r="W38">
        <f t="shared" si="8"/>
        <v>0.12418317621642977</v>
      </c>
      <c r="X38">
        <f>W38*BASE!Q38</f>
        <v>4.935911037867783E-2</v>
      </c>
    </row>
    <row r="39" spans="1:24" x14ac:dyDescent="0.3">
      <c r="A39" s="5">
        <v>37</v>
      </c>
      <c r="B39">
        <f>B38*EXP(RATES!O40)*(1-DATA!$B$6)</f>
        <v>91159.651578764926</v>
      </c>
      <c r="C39">
        <f>C38*EXP(RATES!O40)*(1-DATA!$B$6)</f>
        <v>22789.912894691231</v>
      </c>
      <c r="D39">
        <f t="shared" si="1"/>
        <v>113949.56447345615</v>
      </c>
      <c r="E39">
        <f>E38*(1-'LIFE TABLE MALE'!D99/1000)</f>
        <v>3.1170037205196816E-2</v>
      </c>
      <c r="F39">
        <f t="shared" si="2"/>
        <v>2.4462466922718223E-3</v>
      </c>
      <c r="G39">
        <f t="shared" si="0"/>
        <v>113929.56447345615</v>
      </c>
      <c r="H39">
        <f>MAX(D39,DATA!$B$3)</f>
        <v>113949.56447345615</v>
      </c>
      <c r="I39">
        <f>G39*DATA!$B$7*F38*E39</f>
        <v>1.5330147822570612</v>
      </c>
      <c r="J39">
        <f>H39*'LIFE TABLE MALE'!D99/1000*F38*E38</f>
        <v>5.0935688696238524</v>
      </c>
      <c r="K39">
        <f>0</f>
        <v>0</v>
      </c>
      <c r="L39" s="43">
        <f>DATA!$B$8*((1+DATA!$B$9)^A38)*F39*E39</f>
        <v>7.7770297421095686E-3</v>
      </c>
      <c r="M39">
        <f>B38*EXP(RATES!O40)*(DATA!$B$12)</f>
        <v>1304.9438876305819</v>
      </c>
      <c r="N39">
        <f>C38*EXP(RATES!O40)*(DATA!$B$12)</f>
        <v>326.23597190764548</v>
      </c>
      <c r="O39">
        <f t="shared" si="3"/>
        <v>1631.1798595382274</v>
      </c>
      <c r="P39">
        <f t="shared" si="4"/>
        <v>0.12437681248859102</v>
      </c>
      <c r="Q39">
        <f>RATES!G40</f>
        <v>0.38532302185706108</v>
      </c>
      <c r="R39" s="46">
        <f t="shared" si="5"/>
        <v>6.7587374941116147</v>
      </c>
      <c r="S39">
        <f t="shared" si="6"/>
        <v>2.6042971551697081</v>
      </c>
      <c r="T39">
        <f>C38*EXP(RATES!O40)*(DATA!$B$6-DATA!$B$12)</f>
        <v>186.42055537579736</v>
      </c>
      <c r="U39">
        <f>B38*EXP(RATES!O40)*(DATA!$B$6-DATA!$B$12)</f>
        <v>745.68222150318945</v>
      </c>
      <c r="V39">
        <f t="shared" si="7"/>
        <v>932.10277687898679</v>
      </c>
      <c r="W39">
        <f t="shared" si="8"/>
        <v>7.1072464279194836E-2</v>
      </c>
      <c r="X39">
        <f>W39*BASE!Q39</f>
        <v>2.7385856706887386E-2</v>
      </c>
    </row>
    <row r="40" spans="1:24" x14ac:dyDescent="0.3">
      <c r="A40" s="5">
        <v>38</v>
      </c>
      <c r="B40">
        <f>B39*EXP(RATES!O41)*(1-DATA!$B$6)</f>
        <v>91991.509139589645</v>
      </c>
      <c r="C40">
        <f>C39*EXP(RATES!O41)*(1-DATA!$B$6)</f>
        <v>22997.877284897411</v>
      </c>
      <c r="D40">
        <f t="shared" si="1"/>
        <v>114989.38642448705</v>
      </c>
      <c r="E40">
        <f>E39*(1-'LIFE TABLE MALE'!D100/1000)</f>
        <v>2.0055497964754421E-2</v>
      </c>
      <c r="F40">
        <f t="shared" si="2"/>
        <v>2.0793096884310488E-3</v>
      </c>
      <c r="G40">
        <f t="shared" si="0"/>
        <v>114969.38642448705</v>
      </c>
      <c r="H40">
        <f>MAX(D40,DATA!$B$3)</f>
        <v>114989.38642448705</v>
      </c>
      <c r="I40">
        <f>G40*DATA!$B$7*F39*E40</f>
        <v>0.84607170988176905</v>
      </c>
      <c r="J40">
        <f>H40*'LIFE TABLE MALE'!D100/1000*F39*E39</f>
        <v>3.1264354866068489</v>
      </c>
      <c r="K40">
        <f>0</f>
        <v>0</v>
      </c>
      <c r="L40" s="43">
        <f>DATA!$B$8*((1+DATA!$B$9)^A39)*F40*E40</f>
        <v>4.3383939557268287E-3</v>
      </c>
      <c r="M40">
        <f>B39*EXP(RATES!O41)*(DATA!$B$12)</f>
        <v>1316.8518690738806</v>
      </c>
      <c r="N40">
        <f>C39*EXP(RATES!O41)*(DATA!$B$12)</f>
        <v>329.21296726847015</v>
      </c>
      <c r="O40">
        <f t="shared" si="3"/>
        <v>1646.0648363423506</v>
      </c>
      <c r="P40">
        <f t="shared" si="4"/>
        <v>6.8643522934045534E-2</v>
      </c>
      <c r="Q40">
        <f>RATES!G41</f>
        <v>0.37343818647922755</v>
      </c>
      <c r="R40" s="46">
        <f t="shared" si="5"/>
        <v>4.0454891133783901</v>
      </c>
      <c r="S40">
        <f t="shared" si="6"/>
        <v>1.5107401179214841</v>
      </c>
      <c r="T40">
        <f>C39*EXP(RATES!O41)*(DATA!$B$6-DATA!$B$12)</f>
        <v>188.12169558198289</v>
      </c>
      <c r="U40">
        <f>B39*EXP(RATES!O41)*(DATA!$B$6-DATA!$B$12)</f>
        <v>752.48678232793156</v>
      </c>
      <c r="V40">
        <f t="shared" si="7"/>
        <v>940.60847790991443</v>
      </c>
      <c r="W40">
        <f t="shared" si="8"/>
        <v>3.9224870248026004E-2</v>
      </c>
      <c r="X40">
        <f>W40*BASE!Q40</f>
        <v>1.464806441030584E-2</v>
      </c>
    </row>
    <row r="41" spans="1:24" x14ac:dyDescent="0.3">
      <c r="A41" s="5">
        <v>39</v>
      </c>
      <c r="B41">
        <f>B40*EXP(RATES!O42)*(1-DATA!$B$6)</f>
        <v>92822.74661856427</v>
      </c>
      <c r="C41">
        <f>C40*EXP(RATES!O42)*(1-DATA!$B$6)</f>
        <v>23205.686654641067</v>
      </c>
      <c r="D41">
        <f t="shared" si="1"/>
        <v>116028.43327320533</v>
      </c>
      <c r="E41">
        <f>E40*(1-'LIFE TABLE MALE'!D101/1000)</f>
        <v>1.2452801434776237E-2</v>
      </c>
      <c r="F41">
        <f t="shared" si="2"/>
        <v>1.7674132351663914E-3</v>
      </c>
      <c r="G41">
        <f t="shared" si="0"/>
        <v>116008.43327320533</v>
      </c>
      <c r="H41">
        <f>MAX(D41,DATA!$B$3)</f>
        <v>116028.43327320533</v>
      </c>
      <c r="I41">
        <f>G41*DATA!$B$7*F40*E41</f>
        <v>0.45057496838628941</v>
      </c>
      <c r="J41">
        <f>H41*'LIFE TABLE MALE'!D101/1000*F40*E40</f>
        <v>1.8342193075807627</v>
      </c>
      <c r="K41">
        <f>0</f>
        <v>0</v>
      </c>
      <c r="L41" s="43">
        <f>DATA!$B$8*((1+DATA!$B$9)^A40)*F41*E41</f>
        <v>2.3355098178784468E-3</v>
      </c>
      <c r="M41">
        <f>B40*EXP(RATES!O42)*(DATA!$B$12)</f>
        <v>1328.7509740898772</v>
      </c>
      <c r="N41">
        <f>C40*EXP(RATES!O42)*(DATA!$B$12)</f>
        <v>332.1877435224693</v>
      </c>
      <c r="O41">
        <f t="shared" si="3"/>
        <v>1660.9387176123464</v>
      </c>
      <c r="P41">
        <f t="shared" si="4"/>
        <v>3.6556008944320484E-2</v>
      </c>
      <c r="Q41">
        <f>RATES!G42</f>
        <v>0.36195193998143993</v>
      </c>
      <c r="R41" s="46">
        <f t="shared" si="5"/>
        <v>2.3236857947292511</v>
      </c>
      <c r="S41">
        <f t="shared" si="6"/>
        <v>0.84106258130956646</v>
      </c>
      <c r="T41">
        <f>C40*EXP(RATES!O42)*(DATA!$B$6-DATA!$B$12)</f>
        <v>189.82156772712528</v>
      </c>
      <c r="U41">
        <f>B40*EXP(RATES!O42)*(DATA!$B$6-DATA!$B$12)</f>
        <v>759.28627090850114</v>
      </c>
      <c r="V41">
        <f t="shared" si="7"/>
        <v>949.10783863562642</v>
      </c>
      <c r="W41">
        <f t="shared" si="8"/>
        <v>2.0889147968183131E-2</v>
      </c>
      <c r="X41">
        <f>W41*BASE!Q41</f>
        <v>7.5608676316432383E-3</v>
      </c>
    </row>
    <row r="42" spans="1:24" x14ac:dyDescent="0.3">
      <c r="A42" s="6">
        <v>40</v>
      </c>
      <c r="B42">
        <f>B41*EXP(RATES!O43)*(1-DATA!$B$6)</f>
        <v>93686.981367791916</v>
      </c>
      <c r="C42">
        <f>C41*EXP(RATES!O43)*(1-DATA!$B$6)</f>
        <v>23421.745341947979</v>
      </c>
      <c r="D42">
        <f t="shared" si="1"/>
        <v>117108.72670973989</v>
      </c>
      <c r="E42">
        <f>E41*(1-'LIFE TABLE MALE'!D102/1000)</f>
        <v>7.4403643067615386E-3</v>
      </c>
      <c r="F42">
        <f t="shared" si="2"/>
        <v>1.5023012498914326E-3</v>
      </c>
      <c r="G42">
        <f t="shared" si="0"/>
        <v>117088.72670973989</v>
      </c>
      <c r="H42">
        <f>MAX(D42,DATA!$B$3)</f>
        <v>117108.72670973989</v>
      </c>
      <c r="I42">
        <f>G42*DATA!$B$7*F41*E42</f>
        <v>0.23096099712134213</v>
      </c>
      <c r="J42">
        <f>H42*'LIFE TABLE MALE'!D102/1000*F41*E41</f>
        <v>1.0374717984077113</v>
      </c>
      <c r="K42">
        <f>0</f>
        <v>0</v>
      </c>
      <c r="L42" s="43">
        <f>DATA!$B$8*((1+DATA!$B$9)^A41)*F42*E42</f>
        <v>1.2098399809045968E-3</v>
      </c>
      <c r="M42">
        <f>B41*EXP(RATES!O43)*(DATA!$B$12)</f>
        <v>1341.122432667778</v>
      </c>
      <c r="N42">
        <f>C41*EXP(RATES!O43)*(DATA!$B$12)</f>
        <v>335.28060816694449</v>
      </c>
      <c r="O42">
        <f t="shared" si="3"/>
        <v>1676.4030408347226</v>
      </c>
      <c r="P42">
        <f t="shared" si="4"/>
        <v>1.8738277626619459E-2</v>
      </c>
      <c r="Q42">
        <f>RATES!G43</f>
        <v>0.35072355328981947</v>
      </c>
      <c r="R42" s="46">
        <f t="shared" si="5"/>
        <v>1.2883809131365775</v>
      </c>
      <c r="S42">
        <f t="shared" si="6"/>
        <v>0.45186553184604272</v>
      </c>
      <c r="T42">
        <f>C41*EXP(RATES!O43)*(DATA!$B$6-DATA!$B$12)</f>
        <v>191.58891895253967</v>
      </c>
      <c r="U42">
        <f>B41*EXP(RATES!O43)*(DATA!$B$6-DATA!$B$12)</f>
        <v>766.35567581015869</v>
      </c>
      <c r="V42">
        <f t="shared" si="7"/>
        <v>957.94459476269833</v>
      </c>
      <c r="W42">
        <f t="shared" si="8"/>
        <v>1.0707587215211117E-2</v>
      </c>
      <c r="X42">
        <f>W42*BASE!Q42</f>
        <v>3.755403035279486E-3</v>
      </c>
    </row>
    <row r="43" spans="1:24" x14ac:dyDescent="0.3">
      <c r="A43" s="5">
        <v>41</v>
      </c>
      <c r="B43">
        <f>B42*EXP(RATES!O44)*(1-DATA!$B$6)</f>
        <v>94547.223145914031</v>
      </c>
      <c r="C43">
        <f>C42*EXP(RATES!O44)*(1-DATA!$B$6)</f>
        <v>23636.805786478508</v>
      </c>
      <c r="D43">
        <f t="shared" si="1"/>
        <v>118184.02893239254</v>
      </c>
      <c r="E43">
        <f>E42*(1-'LIFE TABLE MALE'!D103/1000)</f>
        <v>4.2097766512728023E-3</v>
      </c>
      <c r="F43">
        <f t="shared" si="2"/>
        <v>1.2769560624077175E-3</v>
      </c>
      <c r="G43">
        <f t="shared" si="0"/>
        <v>118164.02893239254</v>
      </c>
      <c r="H43">
        <f>MAX(D43,DATA!$B$3)</f>
        <v>118184.02893239254</v>
      </c>
      <c r="I43">
        <f>G43*DATA!$B$7*F42*E43</f>
        <v>0.11209664975581757</v>
      </c>
      <c r="J43">
        <f>H43*'LIFE TABLE MALE'!D103/1000*F42*E42</f>
        <v>0.57358442352011951</v>
      </c>
      <c r="K43">
        <f>0</f>
        <v>0</v>
      </c>
      <c r="L43" s="43">
        <f>DATA!$B$8*((1+DATA!$B$9)^A42)*F43*E43</f>
        <v>5.9348792069562279E-4</v>
      </c>
      <c r="M43">
        <f>B42*EXP(RATES!O44)*(DATA!$B$12)</f>
        <v>1353.4367321500988</v>
      </c>
      <c r="N43">
        <f>C42*EXP(RATES!O44)*(DATA!$B$12)</f>
        <v>338.3591830375247</v>
      </c>
      <c r="O43">
        <f t="shared" si="3"/>
        <v>1691.7959151876235</v>
      </c>
      <c r="P43">
        <f t="shared" si="4"/>
        <v>9.0945869903647607E-3</v>
      </c>
      <c r="Q43">
        <f>RATES!G44</f>
        <v>0.33988676611542612</v>
      </c>
      <c r="R43" s="46">
        <f t="shared" si="5"/>
        <v>0.69536914818699747</v>
      </c>
      <c r="S43">
        <f t="shared" si="6"/>
        <v>0.2363467710337171</v>
      </c>
      <c r="T43">
        <f>C42*EXP(RATES!O44)*(DATA!$B$6-DATA!$B$12)</f>
        <v>193.34810459287121</v>
      </c>
      <c r="U43">
        <f>B42*EXP(RATES!O44)*(DATA!$B$6-DATA!$B$12)</f>
        <v>773.39241837148484</v>
      </c>
      <c r="V43">
        <f t="shared" si="7"/>
        <v>966.74052296435605</v>
      </c>
      <c r="W43">
        <f t="shared" si="8"/>
        <v>5.1969068516370051E-3</v>
      </c>
      <c r="X43">
        <f>W43*BASE!Q43</f>
        <v>1.7663598636060024E-3</v>
      </c>
    </row>
    <row r="44" spans="1:24" x14ac:dyDescent="0.3">
      <c r="A44" s="5">
        <v>42</v>
      </c>
      <c r="B44">
        <f>B43*EXP(RATES!O45)*(1-DATA!$B$6)</f>
        <v>95439.467610481792</v>
      </c>
      <c r="C44">
        <f>C43*EXP(RATES!O45)*(1-DATA!$B$6)</f>
        <v>23859.866902620448</v>
      </c>
      <c r="D44">
        <f t="shared" si="1"/>
        <v>119299.33451310224</v>
      </c>
      <c r="E44">
        <f>E43*(1-'LIFE TABLE MALE'!D104/1000)</f>
        <v>2.2105743895867065E-3</v>
      </c>
      <c r="F44">
        <f t="shared" si="2"/>
        <v>1.08541265304656E-3</v>
      </c>
      <c r="G44">
        <f t="shared" si="0"/>
        <v>119279.33451310224</v>
      </c>
      <c r="H44">
        <f>MAX(D44,DATA!$B$3)</f>
        <v>119299.33451310224</v>
      </c>
      <c r="I44">
        <f>G44*DATA!$B$7*F43*E44</f>
        <v>5.0505369758485685E-2</v>
      </c>
      <c r="J44">
        <f>H44*'LIFE TABLE MALE'!D104/1000*F43*E43</f>
        <v>0.30455848943394509</v>
      </c>
      <c r="K44">
        <f>0</f>
        <v>0</v>
      </c>
      <c r="L44" s="43">
        <f>DATA!$B$8*((1+DATA!$B$9)^A43)*F44*E44</f>
        <v>2.701948461656282E-4</v>
      </c>
      <c r="M44">
        <f>B43*EXP(RATES!O45)*(DATA!$B$12)</f>
        <v>1366.2091477983079</v>
      </c>
      <c r="N44">
        <f>C43*EXP(RATES!O45)*(DATA!$B$12)</f>
        <v>341.55228694957697</v>
      </c>
      <c r="O44">
        <f t="shared" si="3"/>
        <v>1707.7614347478848</v>
      </c>
      <c r="P44">
        <f t="shared" si="4"/>
        <v>4.0975778753464488E-3</v>
      </c>
      <c r="Q44">
        <f>RATES!G45</f>
        <v>0.32930162970189214</v>
      </c>
      <c r="R44" s="46">
        <f t="shared" si="5"/>
        <v>0.35943163191394284</v>
      </c>
      <c r="S44">
        <f t="shared" si="6"/>
        <v>0.118361422155672</v>
      </c>
      <c r="T44">
        <f>C43*EXP(RATES!O45)*(DATA!$B$6-DATA!$B$12)</f>
        <v>195.17273539975824</v>
      </c>
      <c r="U44">
        <f>B43*EXP(RATES!O45)*(DATA!$B$6-DATA!$B$12)</f>
        <v>780.69094159903295</v>
      </c>
      <c r="V44">
        <f t="shared" si="7"/>
        <v>975.86367699879122</v>
      </c>
      <c r="W44">
        <f t="shared" si="8"/>
        <v>2.3414730716265421E-3</v>
      </c>
      <c r="X44">
        <f>W44*BASE!Q44</f>
        <v>7.710508983897155E-4</v>
      </c>
    </row>
    <row r="45" spans="1:24" x14ac:dyDescent="0.3">
      <c r="A45" s="5">
        <v>43</v>
      </c>
      <c r="B45">
        <f>B44*EXP(RATES!O46)*(1-DATA!$B$6)</f>
        <v>96364.465078835521</v>
      </c>
      <c r="C45">
        <f>C44*EXP(RATES!O46)*(1-DATA!$B$6)</f>
        <v>24091.11626970888</v>
      </c>
      <c r="D45">
        <f t="shared" si="1"/>
        <v>120455.58134854439</v>
      </c>
      <c r="E45">
        <f>E44*(1-'LIFE TABLE MALE'!D105/1000)</f>
        <v>1.0841973645697085E-3</v>
      </c>
      <c r="F45">
        <f t="shared" si="2"/>
        <v>9.2260075508957592E-4</v>
      </c>
      <c r="G45">
        <f t="shared" si="0"/>
        <v>120435.58134854439</v>
      </c>
      <c r="H45">
        <f>MAX(D45,DATA!$B$3)</f>
        <v>120455.58134854439</v>
      </c>
      <c r="I45">
        <f>G45*DATA!$B$7*F44*E45</f>
        <v>2.1259316602393902E-2</v>
      </c>
      <c r="J45">
        <f>H45*'LIFE TABLE MALE'!D105/1000*F44*E44</f>
        <v>0.14726705141703283</v>
      </c>
      <c r="K45">
        <f>0</f>
        <v>0</v>
      </c>
      <c r="L45" s="43">
        <f>DATA!$B$8*((1+DATA!$B$9)^A44)*F45*E45</f>
        <v>1.1489453487375098E-4</v>
      </c>
      <c r="M45">
        <f>B44*EXP(RATES!O46)*(DATA!$B$12)</f>
        <v>1379.4504203514286</v>
      </c>
      <c r="N45">
        <f>C44*EXP(RATES!O46)*(DATA!$B$12)</f>
        <v>344.86260508785716</v>
      </c>
      <c r="O45">
        <f t="shared" si="3"/>
        <v>1724.3130254392859</v>
      </c>
      <c r="P45">
        <f t="shared" si="4"/>
        <v>1.724798087139677E-3</v>
      </c>
      <c r="Q45">
        <f>RATES!G46</f>
        <v>0.3189655855815991</v>
      </c>
      <c r="R45" s="46">
        <f t="shared" si="5"/>
        <v>0.17036606064144016</v>
      </c>
      <c r="S45">
        <f t="shared" si="6"/>
        <v>5.4340910295727185E-2</v>
      </c>
      <c r="T45">
        <f>C44*EXP(RATES!O46)*(DATA!$B$6-DATA!$B$12)</f>
        <v>197.06434576448979</v>
      </c>
      <c r="U45">
        <f>B44*EXP(RATES!O46)*(DATA!$B$6-DATA!$B$12)</f>
        <v>788.25738305795915</v>
      </c>
      <c r="V45">
        <f t="shared" si="7"/>
        <v>985.3217288224489</v>
      </c>
      <c r="W45">
        <f t="shared" si="8"/>
        <v>9.8559890693695812E-4</v>
      </c>
      <c r="X45">
        <f>W45*BASE!Q45</f>
        <v>3.1437213249973085E-4</v>
      </c>
    </row>
    <row r="46" spans="1:24" x14ac:dyDescent="0.3">
      <c r="A46" s="5">
        <v>44</v>
      </c>
      <c r="B46">
        <f>B45*EXP(RATES!O47)*(1-DATA!$B$6)</f>
        <v>97281.312696218753</v>
      </c>
      <c r="C46">
        <f>C45*EXP(RATES!O47)*(1-DATA!$B$6)</f>
        <v>24320.328174054688</v>
      </c>
      <c r="D46">
        <f t="shared" si="1"/>
        <v>121601.64087027343</v>
      </c>
      <c r="E46">
        <f>E45*(1-'LIFE TABLE MALE'!D106/1000)</f>
        <v>4.9392735969807625E-4</v>
      </c>
      <c r="F46">
        <f t="shared" si="2"/>
        <v>7.8421064182613946E-4</v>
      </c>
      <c r="G46">
        <f t="shared" si="0"/>
        <v>121581.64087027343</v>
      </c>
      <c r="H46">
        <f>MAX(D46,DATA!$B$3)</f>
        <v>121601.64087027343</v>
      </c>
      <c r="I46">
        <f>G46*DATA!$B$7*F45*E46</f>
        <v>8.3106721193771955E-3</v>
      </c>
      <c r="J46">
        <f>H46*'LIFE TABLE MALE'!D106/1000*F45*E45</f>
        <v>6.6222253538639739E-2</v>
      </c>
      <c r="K46">
        <f>0</f>
        <v>0</v>
      </c>
      <c r="L46" s="43">
        <f>DATA!$B$8*((1+DATA!$B$9)^A45)*F46*E46</f>
        <v>4.538091047443621E-5</v>
      </c>
      <c r="M46">
        <f>B45*EXP(RATES!O47)*(DATA!$B$12)</f>
        <v>1392.5750283712298</v>
      </c>
      <c r="N46">
        <f>C45*EXP(RATES!O47)*(DATA!$B$12)</f>
        <v>348.14375709280745</v>
      </c>
      <c r="O46">
        <f t="shared" si="3"/>
        <v>1740.7187854640372</v>
      </c>
      <c r="P46">
        <f t="shared" si="4"/>
        <v>6.7425539625387023E-4</v>
      </c>
      <c r="Q46">
        <f>RATES!G47</f>
        <v>0.30900832177573956</v>
      </c>
      <c r="R46" s="46">
        <f t="shared" si="5"/>
        <v>7.5252561964745238E-2</v>
      </c>
      <c r="S46">
        <f t="shared" si="6"/>
        <v>2.3253667882050775E-2</v>
      </c>
      <c r="T46">
        <f>C45*EXP(RATES!O47)*(DATA!$B$6-DATA!$B$12)</f>
        <v>198.93928976731848</v>
      </c>
      <c r="U46">
        <f>B45*EXP(RATES!O47)*(DATA!$B$6-DATA!$B$12)</f>
        <v>795.75715906927394</v>
      </c>
      <c r="V46">
        <f t="shared" si="7"/>
        <v>994.69644883659248</v>
      </c>
      <c r="W46">
        <f t="shared" si="8"/>
        <v>3.8528879785935428E-4</v>
      </c>
      <c r="X46">
        <f>W46*BASE!Q46</f>
        <v>1.1905744482551122E-4</v>
      </c>
    </row>
    <row r="47" spans="1:24" x14ac:dyDescent="0.3">
      <c r="A47" s="6">
        <v>45</v>
      </c>
      <c r="B47">
        <f>B46*EXP(RATES!O48)*(1-DATA!$B$6)</f>
        <v>98229.776108477323</v>
      </c>
      <c r="C47">
        <f>C46*EXP(RATES!O48)*(1-DATA!$B$6)</f>
        <v>24557.444027119331</v>
      </c>
      <c r="D47">
        <f t="shared" si="1"/>
        <v>122787.22013559665</v>
      </c>
      <c r="E47">
        <f>E46*(1-'LIFE TABLE MALE'!D107/1000)</f>
        <v>2.0782377934782401E-4</v>
      </c>
      <c r="F47">
        <f t="shared" si="2"/>
        <v>6.6657904555221851E-4</v>
      </c>
      <c r="G47">
        <f t="shared" si="0"/>
        <v>122767.22013559665</v>
      </c>
      <c r="H47">
        <f>MAX(D47,DATA!$B$3)</f>
        <v>122787.22013559665</v>
      </c>
      <c r="I47">
        <f>G47*DATA!$B$7*F46*E47</f>
        <v>3.0012463915074037E-3</v>
      </c>
      <c r="J47">
        <f>H47*'LIFE TABLE MALE'!D107/1000*F46*E46</f>
        <v>2.7549212647364218E-2</v>
      </c>
      <c r="K47">
        <f>0</f>
        <v>0</v>
      </c>
      <c r="L47" s="43">
        <f>DATA!$B$8*((1+DATA!$B$9)^A46)*F47*E47</f>
        <v>1.6554819783237388E-5</v>
      </c>
      <c r="M47">
        <f>B46*EXP(RATES!O48)*(DATA!$B$12)</f>
        <v>1406.1522142317817</v>
      </c>
      <c r="N47">
        <f>C46*EXP(RATES!O48)*(DATA!$B$12)</f>
        <v>351.53805355794543</v>
      </c>
      <c r="O47">
        <f t="shared" si="3"/>
        <v>1757.6902677897272</v>
      </c>
      <c r="P47">
        <f t="shared" si="4"/>
        <v>2.4349454914758211E-4</v>
      </c>
      <c r="Q47">
        <f>RATES!G48</f>
        <v>0.29929213083059769</v>
      </c>
      <c r="R47" s="46">
        <f t="shared" si="5"/>
        <v>3.0810508407802438E-2</v>
      </c>
      <c r="S47">
        <f t="shared" si="6"/>
        <v>9.2213427133452375E-3</v>
      </c>
      <c r="T47">
        <f>C46*EXP(RATES!O48)*(DATA!$B$6-DATA!$B$12)</f>
        <v>200.87888774739736</v>
      </c>
      <c r="U47">
        <f>B46*EXP(RATES!O48)*(DATA!$B$6-DATA!$B$12)</f>
        <v>803.51555098958943</v>
      </c>
      <c r="V47">
        <f t="shared" si="7"/>
        <v>1004.3944387369868</v>
      </c>
      <c r="W47">
        <f t="shared" si="8"/>
        <v>1.391397423700469E-4</v>
      </c>
      <c r="X47">
        <f>W47*BASE!Q47</f>
        <v>4.1643429977151737E-5</v>
      </c>
    </row>
    <row r="48" spans="1:24" x14ac:dyDescent="0.3">
      <c r="A48" s="5">
        <v>46</v>
      </c>
      <c r="B48">
        <f>B47*EXP(RATES!O49)*(1-DATA!$B$6)</f>
        <v>99166.189047448002</v>
      </c>
      <c r="C48">
        <f>C47*EXP(RATES!O49)*(1-DATA!$B$6)</f>
        <v>24791.547261862001</v>
      </c>
      <c r="D48">
        <f t="shared" si="1"/>
        <v>123957.73630931</v>
      </c>
      <c r="E48">
        <f>E47*(1-'LIFE TABLE MALE'!D108/1000)</f>
        <v>8.0294550156765644E-5</v>
      </c>
      <c r="F48">
        <f t="shared" si="2"/>
        <v>5.665921887193857E-4</v>
      </c>
      <c r="G48">
        <f t="shared" si="0"/>
        <v>123937.73630931</v>
      </c>
      <c r="H48">
        <f>MAX(D48,DATA!$B$3)</f>
        <v>123957.73630931</v>
      </c>
      <c r="I48">
        <f>G48*DATA!$B$7*F47*E48</f>
        <v>9.9502168388657846E-4</v>
      </c>
      <c r="J48">
        <f>H48*'LIFE TABLE MALE'!D108/1000*F47*E47</f>
        <v>1.0537437907399909E-2</v>
      </c>
      <c r="K48">
        <f>0</f>
        <v>0</v>
      </c>
      <c r="L48" s="43">
        <f>DATA!$B$8*((1+DATA!$B$9)^A47)*F48*E48</f>
        <v>5.5454192520746069E-6</v>
      </c>
      <c r="M48">
        <f>B47*EXP(RATES!O49)*(DATA!$B$12)</f>
        <v>1419.5568984297261</v>
      </c>
      <c r="N48">
        <f>C47*EXP(RATES!O49)*(DATA!$B$12)</f>
        <v>354.88922460743152</v>
      </c>
      <c r="O48">
        <f t="shared" si="3"/>
        <v>1774.4461230371576</v>
      </c>
      <c r="P48">
        <f t="shared" si="4"/>
        <v>8.0727121999841424E-5</v>
      </c>
      <c r="Q48">
        <f>RATES!G49</f>
        <v>0.28994370460990543</v>
      </c>
      <c r="R48" s="46">
        <f t="shared" si="5"/>
        <v>1.1618732132538404E-2</v>
      </c>
      <c r="S48">
        <f t="shared" si="6"/>
        <v>3.3687782373783316E-3</v>
      </c>
      <c r="T48">
        <f>C47*EXP(RATES!O49)*(DATA!$B$6-DATA!$B$12)</f>
        <v>202.79384263281796</v>
      </c>
      <c r="U48">
        <f>B47*EXP(RATES!O49)*(DATA!$B$6-DATA!$B$12)</f>
        <v>811.17537053127182</v>
      </c>
      <c r="V48">
        <f t="shared" si="7"/>
        <v>1013.9692131640898</v>
      </c>
      <c r="W48">
        <f t="shared" si="8"/>
        <v>4.612978399990937E-5</v>
      </c>
      <c r="X48">
        <f>W48*BASE!Q48</f>
        <v>1.3375040465788464E-5</v>
      </c>
    </row>
    <row r="49" spans="1:24" x14ac:dyDescent="0.3">
      <c r="A49" s="5">
        <v>47</v>
      </c>
      <c r="B49">
        <f>B48*EXP(RATES!O50)*(1-DATA!$B$6)</f>
        <v>100132.91784628085</v>
      </c>
      <c r="C49">
        <f>C48*EXP(RATES!O50)*(1-DATA!$B$6)</f>
        <v>25033.229461570212</v>
      </c>
      <c r="D49">
        <f t="shared" si="1"/>
        <v>125166.14730785106</v>
      </c>
      <c r="E49">
        <f>E48*(1-'LIFE TABLE MALE'!D109/1000)</f>
        <v>2.8319789077994546E-5</v>
      </c>
      <c r="F49">
        <f t="shared" si="2"/>
        <v>4.8160336041147783E-4</v>
      </c>
      <c r="G49">
        <f t="shared" si="0"/>
        <v>125146.14730785106</v>
      </c>
      <c r="H49">
        <f>MAX(D49,DATA!$B$3)</f>
        <v>125166.14730785106</v>
      </c>
      <c r="I49">
        <f>G49*DATA!$B$7*F48*E49</f>
        <v>3.0120996839942639E-4</v>
      </c>
      <c r="J49">
        <f>H49*'LIFE TABLE MALE'!D109/1000*F48*E48</f>
        <v>3.6859544926616953E-3</v>
      </c>
      <c r="K49">
        <f>0</f>
        <v>0</v>
      </c>
      <c r="L49" s="43">
        <f>DATA!$B$8*((1+DATA!$B$9)^A48)*F49*E49</f>
        <v>1.6957328302786762E-6</v>
      </c>
      <c r="M49">
        <f>B48*EXP(RATES!O50)*(DATA!$B$12)</f>
        <v>1433.3955519917506</v>
      </c>
      <c r="N49">
        <f>C48*EXP(RATES!O50)*(DATA!$B$12)</f>
        <v>358.34888799793765</v>
      </c>
      <c r="O49">
        <f t="shared" si="3"/>
        <v>1791.7444399896883</v>
      </c>
      <c r="P49">
        <f t="shared" si="4"/>
        <v>2.4437433251450517E-5</v>
      </c>
      <c r="Q49">
        <f>RATES!G50</f>
        <v>0.28082727798558355</v>
      </c>
      <c r="R49" s="46">
        <f t="shared" si="5"/>
        <v>4.0132976271428505E-3</v>
      </c>
      <c r="S49">
        <f t="shared" si="6"/>
        <v>1.1270434483765281E-3</v>
      </c>
      <c r="T49">
        <f>C48*EXP(RATES!O50)*(DATA!$B$6-DATA!$B$12)</f>
        <v>204.77079314167861</v>
      </c>
      <c r="U49">
        <f>B48*EXP(RATES!O50)*(DATA!$B$6-DATA!$B$12)</f>
        <v>819.08317256671444</v>
      </c>
      <c r="V49">
        <f t="shared" si="7"/>
        <v>1023.853965708393</v>
      </c>
      <c r="W49">
        <f t="shared" si="8"/>
        <v>1.3964247572257434E-5</v>
      </c>
      <c r="X49">
        <f>W49*BASE!Q49</f>
        <v>3.9215416348338486E-6</v>
      </c>
    </row>
    <row r="50" spans="1:24" x14ac:dyDescent="0.3">
      <c r="A50" s="5">
        <v>48</v>
      </c>
      <c r="B50">
        <f>B49*EXP(RATES!O51)*(1-DATA!$B$6)</f>
        <v>101130.66967745037</v>
      </c>
      <c r="C50">
        <f>C49*EXP(RATES!O51)*(1-DATA!$B$6)</f>
        <v>25282.667419362591</v>
      </c>
      <c r="D50">
        <f t="shared" si="1"/>
        <v>126413.33709681296</v>
      </c>
      <c r="E50">
        <f>E49*(1-'LIFE TABLE MALE'!D110/1000)</f>
        <v>9.0649345271787407E-6</v>
      </c>
      <c r="F50">
        <f t="shared" si="2"/>
        <v>4.0936285634975616E-4</v>
      </c>
      <c r="G50">
        <f t="shared" si="0"/>
        <v>126393.33709681296</v>
      </c>
      <c r="H50">
        <f>MAX(D50,DATA!$B$3)</f>
        <v>126413.33709681296</v>
      </c>
      <c r="I50">
        <f>G50*DATA!$B$7*F49*E50</f>
        <v>8.2769364318183863E-5</v>
      </c>
      <c r="J50">
        <f>H50*'LIFE TABLE MALE'!D110/1000*F49*E49</f>
        <v>1.1722564933082493E-3</v>
      </c>
      <c r="K50">
        <f>0</f>
        <v>0</v>
      </c>
      <c r="L50" s="43">
        <f>DATA!$B$8*((1+DATA!$B$9)^A49)*F50*E50</f>
        <v>4.7059919844194642E-7</v>
      </c>
      <c r="M50">
        <f>B49*EXP(RATES!O51)*(DATA!$B$12)</f>
        <v>1447.678298041212</v>
      </c>
      <c r="N50">
        <f>C49*EXP(RATES!O51)*(DATA!$B$12)</f>
        <v>361.91957451030299</v>
      </c>
      <c r="O50">
        <f t="shared" si="3"/>
        <v>1809.5978725515149</v>
      </c>
      <c r="P50">
        <f t="shared" si="4"/>
        <v>6.7151417244785012E-6</v>
      </c>
      <c r="Q50">
        <f>RATES!G51</f>
        <v>0.27193939918145021</v>
      </c>
      <c r="R50" s="46">
        <f t="shared" si="5"/>
        <v>1.2622115985493536E-3</v>
      </c>
      <c r="S50">
        <f t="shared" si="6"/>
        <v>3.4324506374936906E-4</v>
      </c>
      <c r="T50">
        <f>C49*EXP(RATES!O51)*(DATA!$B$6-DATA!$B$12)</f>
        <v>206.81118543445879</v>
      </c>
      <c r="U50">
        <f>B49*EXP(RATES!O51)*(DATA!$B$6-DATA!$B$12)</f>
        <v>827.24474173783517</v>
      </c>
      <c r="V50">
        <f t="shared" si="7"/>
        <v>1034.0559271722939</v>
      </c>
      <c r="W50">
        <f t="shared" si="8"/>
        <v>3.8372238425591427E-6</v>
      </c>
      <c r="X50">
        <f>W50*BASE!Q50</f>
        <v>1.043492346270269E-6</v>
      </c>
    </row>
    <row r="51" spans="1:24" x14ac:dyDescent="0.3">
      <c r="A51" s="5">
        <v>49</v>
      </c>
      <c r="B51">
        <f>B50*EXP(RATES!O52)*(1-DATA!$B$6)</f>
        <v>102111.47643077932</v>
      </c>
      <c r="C51">
        <f>C50*EXP(RATES!O52)*(1-DATA!$B$6)</f>
        <v>25527.869107694831</v>
      </c>
      <c r="D51">
        <f t="shared" si="1"/>
        <v>127639.34553847415</v>
      </c>
      <c r="E51">
        <f>E50*(1-'LIFE TABLE MALE'!D111/1000)</f>
        <v>2.6181425485808386E-6</v>
      </c>
      <c r="F51">
        <f t="shared" si="2"/>
        <v>3.4795842789729273E-4</v>
      </c>
      <c r="G51">
        <f t="shared" si="0"/>
        <v>127619.34553847415</v>
      </c>
      <c r="H51">
        <f>MAX(D51,DATA!$B$3)</f>
        <v>127639.34553847415</v>
      </c>
      <c r="I51">
        <f>G51*DATA!$B$7*F50*E51</f>
        <v>2.0516793868093257E-5</v>
      </c>
      <c r="J51">
        <f>H51*'LIFE TABLE MALE'!D111/1000*F50*E50</f>
        <v>3.3685008390860454E-4</v>
      </c>
      <c r="K51">
        <f>0</f>
        <v>0</v>
      </c>
      <c r="L51" s="43">
        <f>DATA!$B$8*((1+DATA!$B$9)^A50)*F51*E51</f>
        <v>1.1784167245685514E-7</v>
      </c>
      <c r="M51">
        <f>B50*EXP(RATES!O52)*(DATA!$B$12)</f>
        <v>1461.7184765142235</v>
      </c>
      <c r="N51">
        <f>C50*EXP(RATES!O52)*(DATA!$B$12)</f>
        <v>365.42961912855588</v>
      </c>
      <c r="O51">
        <f t="shared" si="3"/>
        <v>1827.1480956427795</v>
      </c>
      <c r="P51">
        <f t="shared" si="4"/>
        <v>1.66454062188445E-6</v>
      </c>
      <c r="Q51">
        <f>RATES!G52</f>
        <v>0.26340215020802832</v>
      </c>
      <c r="R51" s="46">
        <f t="shared" si="5"/>
        <v>3.591492600710391E-4</v>
      </c>
      <c r="S51">
        <f t="shared" si="6"/>
        <v>9.4600687348334075E-5</v>
      </c>
      <c r="T51">
        <f>C50*EXP(RATES!O52)*(DATA!$B$6-DATA!$B$12)</f>
        <v>208.8169252163176</v>
      </c>
      <c r="U51">
        <f>B50*EXP(RATES!O52)*(DATA!$B$6-DATA!$B$12)</f>
        <v>835.2677008652704</v>
      </c>
      <c r="V51">
        <f t="shared" si="7"/>
        <v>1044.0846260815879</v>
      </c>
      <c r="W51">
        <f t="shared" si="8"/>
        <v>9.5116606964825691E-7</v>
      </c>
      <c r="X51">
        <f>W51*BASE!Q51</f>
        <v>2.505391879502701E-7</v>
      </c>
    </row>
    <row r="52" spans="1:24" x14ac:dyDescent="0.3">
      <c r="A52" s="6">
        <v>50</v>
      </c>
      <c r="B52">
        <f>B51*EXP(RATES!O53)*(1-DATA!$B$6)</f>
        <v>103171.99920404634</v>
      </c>
      <c r="C52">
        <f>C51*EXP(RATES!O53)*(1-DATA!$B$6)</f>
        <v>25792.999801011585</v>
      </c>
      <c r="D52">
        <f t="shared" si="1"/>
        <v>128964.99900505792</v>
      </c>
      <c r="E52">
        <f>E51*(1-'LIFE TABLE MALE'!D112/1000)</f>
        <v>6.7846284189668997E-7</v>
      </c>
      <c r="F52">
        <f t="shared" si="2"/>
        <v>2.957646637126988E-4</v>
      </c>
      <c r="G52">
        <f t="shared" si="0"/>
        <v>128944.99900505792</v>
      </c>
      <c r="H52">
        <f>MAX(D52,DATA!$B$3)</f>
        <v>128964.99900505792</v>
      </c>
      <c r="I52">
        <f>G52*DATA!$B$7*F51*E52</f>
        <v>4.5661396461983084E-6</v>
      </c>
      <c r="J52">
        <f>H52*'LIFE TABLE MALE'!D112/1000*F51*E51</f>
        <v>8.7042076127648847E-5</v>
      </c>
      <c r="K52">
        <f>E52*D52*F52</f>
        <v>2.5878804635142588E-5</v>
      </c>
      <c r="L52" s="43">
        <f>DATA!$B$8*((1+DATA!$B$9)^A51)*F52*E52</f>
        <v>2.6475902528676984E-8</v>
      </c>
      <c r="M52">
        <f>B51*EXP(RATES!O53)*(DATA!$B$12)</f>
        <v>1476.8997841070029</v>
      </c>
      <c r="N52">
        <f>C51*EXP(RATES!O53)*(DATA!$B$12)</f>
        <v>369.22494602675073</v>
      </c>
      <c r="O52">
        <f t="shared" si="3"/>
        <v>1846.1247301337537</v>
      </c>
      <c r="P52">
        <f t="shared" si="4"/>
        <v>3.7045323608588572E-7</v>
      </c>
      <c r="Q52">
        <f>RATES!G53</f>
        <v>0.25495931300893881</v>
      </c>
      <c r="R52" s="46">
        <f t="shared" si="5"/>
        <v>1.1788394954760431E-4</v>
      </c>
      <c r="S52">
        <f t="shared" si="6"/>
        <v>3.0055610791437599E-5</v>
      </c>
      <c r="T52">
        <f>C51*EXP(RATES!O53)*(DATA!$B$6-DATA!$B$12)</f>
        <v>210.98568344385751</v>
      </c>
      <c r="U52">
        <f>B51*EXP(RATES!O53)*(DATA!$B$6-DATA!$B$12)</f>
        <v>843.94273377543004</v>
      </c>
      <c r="V52">
        <f>T52+U52</f>
        <v>1054.9284172192874</v>
      </c>
      <c r="W52">
        <f t="shared" si="8"/>
        <v>2.1168756347764891E-7</v>
      </c>
      <c r="X52">
        <f>W52*BASE!Q52</f>
        <v>5.3971715756797489E-8</v>
      </c>
    </row>
    <row r="56" spans="1:24" x14ac:dyDescent="0.3">
      <c r="P56" s="52" t="s">
        <v>56</v>
      </c>
      <c r="Q56" s="47">
        <f>SUM(S3:S52)</f>
        <v>94498.607709324031</v>
      </c>
      <c r="T56" s="56" t="s">
        <v>59</v>
      </c>
    </row>
    <row r="57" spans="1:24" x14ac:dyDescent="0.3">
      <c r="P57" s="54" t="s">
        <v>57</v>
      </c>
      <c r="Q57" s="48">
        <f>DATA!B2-Q56</f>
        <v>5501.392290675969</v>
      </c>
      <c r="T57" s="52" t="s">
        <v>60</v>
      </c>
      <c r="U57" s="47">
        <f>SUMPRODUCT(J3:J52,Q3:Q52)</f>
        <v>6566.5752512153795</v>
      </c>
    </row>
    <row r="58" spans="1:24" x14ac:dyDescent="0.3">
      <c r="T58" s="53" t="s">
        <v>61</v>
      </c>
      <c r="U58" s="50">
        <f>SUMPRODUCT(I3:I52,Q3:Q52)</f>
        <v>81104.466614123958</v>
      </c>
    </row>
    <row r="59" spans="1:24" x14ac:dyDescent="0.3">
      <c r="P59" s="55" t="s">
        <v>58</v>
      </c>
      <c r="Q59" s="49">
        <f>SUMPRODUCT(S3:S52,A3:A52)/SUM(S3:S52)</f>
        <v>5.6058654060876218</v>
      </c>
      <c r="T59" s="53" t="s">
        <v>47</v>
      </c>
      <c r="U59" s="51">
        <f>SUMPRODUCT(L3:L52,Q3:Q52)</f>
        <v>247.24601872192471</v>
      </c>
    </row>
    <row r="60" spans="1:24" x14ac:dyDescent="0.3">
      <c r="T60" s="54" t="s">
        <v>48</v>
      </c>
      <c r="U60" s="48">
        <f>SUMPRODUCT(P3:P52,Q3:Q52)</f>
        <v>6580.3198186647296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3AB6-0F28-466A-AA77-90E131ABA934}">
  <dimension ref="A1:X60"/>
  <sheetViews>
    <sheetView zoomScale="84" workbookViewId="0">
      <selection activeCell="P61" sqref="P61:Q63"/>
    </sheetView>
  </sheetViews>
  <sheetFormatPr defaultColWidth="8.796875" defaultRowHeight="15.6" x14ac:dyDescent="0.3"/>
  <cols>
    <col min="2" max="4" width="12" bestFit="1" customWidth="1"/>
    <col min="5" max="6" width="14.69921875" bestFit="1" customWidth="1"/>
    <col min="7" max="7" width="12" bestFit="1" customWidth="1"/>
    <col min="8" max="8" width="9" bestFit="1" customWidth="1"/>
    <col min="9" max="10" width="12.19921875" bestFit="1" customWidth="1"/>
    <col min="11" max="11" width="12.69921875" bestFit="1" customWidth="1"/>
    <col min="12" max="12" width="9.69921875" bestFit="1" customWidth="1"/>
    <col min="13" max="13" width="16.69921875" bestFit="1" customWidth="1"/>
    <col min="14" max="14" width="16.296875" bestFit="1" customWidth="1"/>
    <col min="15" max="15" width="17.19921875" bestFit="1" customWidth="1"/>
    <col min="16" max="16" width="18.19921875" bestFit="1" customWidth="1"/>
    <col min="17" max="17" width="13.19921875" bestFit="1" customWidth="1"/>
    <col min="18" max="18" width="10.796875" bestFit="1" customWidth="1"/>
    <col min="19" max="19" width="12.796875" bestFit="1" customWidth="1"/>
    <col min="20" max="20" width="16.796875" bestFit="1" customWidth="1"/>
    <col min="21" max="22" width="8.796875" bestFit="1" customWidth="1"/>
    <col min="23" max="23" width="11.796875" bestFit="1" customWidth="1"/>
  </cols>
  <sheetData>
    <row r="1" spans="1:24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  <c r="X1" s="9" t="s">
        <v>104</v>
      </c>
    </row>
    <row r="2" spans="1:24" x14ac:dyDescent="0.3">
      <c r="A2" s="41">
        <v>0</v>
      </c>
      <c r="B2">
        <f>DATA!B2*0.8</f>
        <v>80000</v>
      </c>
      <c r="C2">
        <f>DATA!B2*0.2</f>
        <v>20000</v>
      </c>
      <c r="D2">
        <f>B2+C2</f>
        <v>100000</v>
      </c>
      <c r="E2">
        <f>1</f>
        <v>1</v>
      </c>
      <c r="F2">
        <f>1</f>
        <v>1</v>
      </c>
      <c r="G2">
        <f>D2-20</f>
        <v>99980</v>
      </c>
      <c r="H2">
        <f>MAX(D2,DATA!$B$3)</f>
        <v>100000</v>
      </c>
      <c r="M2">
        <f>B2</f>
        <v>80000</v>
      </c>
      <c r="N2">
        <f>C2</f>
        <v>20000</v>
      </c>
      <c r="Q2">
        <f>RATES!G3</f>
        <v>1</v>
      </c>
    </row>
    <row r="3" spans="1:24" x14ac:dyDescent="0.3">
      <c r="A3" s="5">
        <v>1</v>
      </c>
      <c r="B3">
        <f>B2*EXP(RATES!O4)*(1-DATA!$B$6)</f>
        <v>80989.353600000002</v>
      </c>
      <c r="C3">
        <f>C2*EXP(RATES!O4)*(1-DATA!$B$6)</f>
        <v>20247.338400000001</v>
      </c>
      <c r="D3">
        <f>B3+C3</f>
        <v>101236.69200000001</v>
      </c>
      <c r="E3">
        <f>E2*(1-'LIFE TABLE MALE'!D63/1000)</f>
        <v>0.99353212999999996</v>
      </c>
      <c r="F3">
        <f>F2*(1-0.15*1.5)</f>
        <v>0.77500000000000002</v>
      </c>
      <c r="G3">
        <f t="shared" ref="G3:G52" si="0">D3-20</f>
        <v>101216.69200000001</v>
      </c>
      <c r="H3">
        <f>MAX(D3,DATA!$B$3)</f>
        <v>101236.69200000001</v>
      </c>
      <c r="I3">
        <f>G3*DATA!$B$7*1.5*F2*E3</f>
        <v>22626.458008720641</v>
      </c>
      <c r="J3">
        <f>H3*'LIFE TABLE MALE'!D63/1000*F2*E2</f>
        <v>654.78576308603999</v>
      </c>
      <c r="K3">
        <f>0</f>
        <v>0</v>
      </c>
      <c r="L3" s="43">
        <f>DATA!$B$8*((1+DATA!$B$9)^A2)*F3*E3</f>
        <v>38.4993700375</v>
      </c>
      <c r="M3">
        <f>B2*EXP(RATES!O4)*(DATA!$B$12)</f>
        <v>1159.3568</v>
      </c>
      <c r="N3">
        <f>C2*EXP(RATES!O4)*(DATA!$B$12)</f>
        <v>289.83920000000001</v>
      </c>
      <c r="O3">
        <f>M3+N3</f>
        <v>1449.1959999999999</v>
      </c>
      <c r="P3">
        <f>O3*E3*F3</f>
        <v>1115.862661217297</v>
      </c>
      <c r="Q3">
        <f>RATES!G4</f>
        <v>0.96605290105686192</v>
      </c>
      <c r="R3" s="43">
        <f>P3+L3+K3+J3+I3</f>
        <v>24435.60580306148</v>
      </c>
      <c r="S3">
        <f>R3*Q3</f>
        <v>23606.087875129433</v>
      </c>
      <c r="T3">
        <f>C2*EXP(RATES!O4)*(DATA!$B$6-DATA!$B$12)</f>
        <v>165.62239999999997</v>
      </c>
      <c r="U3">
        <f>B2*EXP(RATES!O4)*(DATA!$B$6-DATA!$B$12)</f>
        <v>662.48959999999988</v>
      </c>
      <c r="V3">
        <f>T3+U3</f>
        <v>828.11199999999985</v>
      </c>
      <c r="W3">
        <f>V3*E3*F3</f>
        <v>637.63580640988391</v>
      </c>
      <c r="X3">
        <f>W3*BASE!Q3</f>
        <v>615.98992059999989</v>
      </c>
    </row>
    <row r="4" spans="1:24" x14ac:dyDescent="0.3">
      <c r="A4" s="5">
        <v>2</v>
      </c>
      <c r="B4">
        <f>B3*EXP(RATES!O5)*(1-DATA!$B$6)</f>
        <v>81233.889418663224</v>
      </c>
      <c r="C4">
        <f>C3*EXP(RATES!O5)*(1-DATA!$B$6)</f>
        <v>20308.472354665806</v>
      </c>
      <c r="D4">
        <f t="shared" ref="D4:D52" si="1">B4+C4</f>
        <v>101542.36177332903</v>
      </c>
      <c r="E4">
        <f>E3*(1-'LIFE TABLE MALE'!D64/1000)</f>
        <v>0.98647779355864618</v>
      </c>
      <c r="F4">
        <f t="shared" ref="F4:F52" si="2">F3*(1-0.15*1.5)</f>
        <v>0.60062500000000008</v>
      </c>
      <c r="G4">
        <f t="shared" si="0"/>
        <v>101522.36177332903</v>
      </c>
      <c r="H4">
        <f>MAX(D4,DATA!$B$3)</f>
        <v>101542.36177332903</v>
      </c>
      <c r="I4">
        <f>G4*DATA!$B$7*1.5*F3*E4</f>
        <v>17463.578729678462</v>
      </c>
      <c r="J4">
        <f>H4*'LIFE TABLE MALE'!D64/1000*F3*E3</f>
        <v>555.14333682401264</v>
      </c>
      <c r="K4">
        <f>0</f>
        <v>0</v>
      </c>
      <c r="L4" s="43">
        <f>DATA!$B$8*((1+DATA!$B$9)^A3)*F4*E4</f>
        <v>30.217664462564258</v>
      </c>
      <c r="M4">
        <f>B3*EXP(RATES!O5)*(DATA!$B$12)</f>
        <v>1162.8573127416005</v>
      </c>
      <c r="N4">
        <f>C3*EXP(RATES!O5)*(DATA!$B$12)</f>
        <v>290.71432818540012</v>
      </c>
      <c r="O4">
        <f t="shared" ref="O4:O52" si="3">M4+N4</f>
        <v>1453.5716409270005</v>
      </c>
      <c r="P4">
        <f t="shared" ref="P4:P52" si="4">O4*E4*F4</f>
        <v>861.24588466335376</v>
      </c>
      <c r="Q4">
        <f>RATES!G5</f>
        <v>0.94195563634332236</v>
      </c>
      <c r="R4" s="43">
        <f t="shared" ref="R4:R52" si="5">P4+L4+K4+J4+I4</f>
        <v>18910.185615628394</v>
      </c>
      <c r="S4">
        <f t="shared" ref="S4:S52" si="6">R4*Q4</f>
        <v>17812.555924939585</v>
      </c>
      <c r="T4">
        <f>C3*EXP(RATES!O5)*(DATA!$B$6-DATA!$B$12)</f>
        <v>166.12247324880002</v>
      </c>
      <c r="U4">
        <f>B3*EXP(RATES!O5)*(DATA!$B$6-DATA!$B$12)</f>
        <v>664.48989299520008</v>
      </c>
      <c r="V4">
        <f t="shared" ref="V4:V51" si="7">T4+U4</f>
        <v>830.6123662440001</v>
      </c>
      <c r="W4">
        <f t="shared" ref="W4:W52" si="8">V4*E4*F4</f>
        <v>492.14050552191634</v>
      </c>
      <c r="X4">
        <f>W4*BASE!Q4</f>
        <v>463.57452304922106</v>
      </c>
    </row>
    <row r="5" spans="1:24" x14ac:dyDescent="0.3">
      <c r="A5" s="5">
        <v>3</v>
      </c>
      <c r="B5">
        <f>B4*EXP(RATES!O6)*(1-DATA!$B$6)</f>
        <v>81258.802918728528</v>
      </c>
      <c r="C5">
        <f>C4*EXP(RATES!O6)*(1-DATA!$B$6)</f>
        <v>20314.700729682132</v>
      </c>
      <c r="D5">
        <f t="shared" si="1"/>
        <v>101573.50364841067</v>
      </c>
      <c r="E5">
        <f>E4*(1-'LIFE TABLE MALE'!D65/1000)</f>
        <v>0.97876837095420599</v>
      </c>
      <c r="F5">
        <f t="shared" si="2"/>
        <v>0.46548437500000006</v>
      </c>
      <c r="G5">
        <f t="shared" si="0"/>
        <v>101553.50364841067</v>
      </c>
      <c r="H5">
        <f>MAX(D5,DATA!$B$3)</f>
        <v>101573.50364841067</v>
      </c>
      <c r="I5">
        <f>G5*DATA!$B$7*1.5*F4*E5</f>
        <v>13432.620993011958</v>
      </c>
      <c r="J5">
        <f>H5*'LIFE TABLE MALE'!D65/1000*F4*E4</f>
        <v>470.33325968919593</v>
      </c>
      <c r="K5">
        <f>0</f>
        <v>0</v>
      </c>
      <c r="L5" s="43">
        <f>DATA!$B$8*((1+DATA!$B$9)^A4)*F5*E5</f>
        <v>23.70038396568458</v>
      </c>
      <c r="M5">
        <f>B4*EXP(RATES!O6)*(DATA!$B$12)</f>
        <v>1163.2139477118603</v>
      </c>
      <c r="N5">
        <f>C4*EXP(RATES!O6)*(DATA!$B$12)</f>
        <v>290.80348692796508</v>
      </c>
      <c r="O5">
        <f t="shared" si="3"/>
        <v>1454.0174346398253</v>
      </c>
      <c r="P5">
        <f t="shared" si="4"/>
        <v>662.45235474362823</v>
      </c>
      <c r="Q5">
        <f>RATES!G6</f>
        <v>0.92095016751412107</v>
      </c>
      <c r="R5" s="43">
        <f t="shared" si="5"/>
        <v>14589.106991410466</v>
      </c>
      <c r="S5">
        <f t="shared" si="6"/>
        <v>13435.840527620903</v>
      </c>
      <c r="T5">
        <f>C4*EXP(RATES!O6)*(DATA!$B$6-DATA!$B$12)</f>
        <v>166.17342110169432</v>
      </c>
      <c r="U5">
        <f>B4*EXP(RATES!O6)*(DATA!$B$6-DATA!$B$12)</f>
        <v>664.69368440677727</v>
      </c>
      <c r="V5">
        <f t="shared" si="7"/>
        <v>830.86710550847158</v>
      </c>
      <c r="W5">
        <f t="shared" si="8"/>
        <v>378.54420271064475</v>
      </c>
      <c r="X5">
        <f>W5*BASE!Q5</f>
        <v>348.62034689786771</v>
      </c>
    </row>
    <row r="6" spans="1:24" x14ac:dyDescent="0.3">
      <c r="A6" s="5">
        <v>4</v>
      </c>
      <c r="B6">
        <f>B5*EXP(RATES!O7)*(1-DATA!$B$6)</f>
        <v>81219.666893987174</v>
      </c>
      <c r="C6">
        <f>C5*EXP(RATES!O7)*(1-DATA!$B$6)</f>
        <v>20304.916723496794</v>
      </c>
      <c r="D6">
        <f t="shared" si="1"/>
        <v>101524.58361748396</v>
      </c>
      <c r="E6">
        <f>E5*(1-'LIFE TABLE MALE'!D66/1000)</f>
        <v>0.97028747025977602</v>
      </c>
      <c r="F6">
        <f t="shared" si="2"/>
        <v>0.36075039062500008</v>
      </c>
      <c r="G6">
        <f t="shared" si="0"/>
        <v>101504.58361748396</v>
      </c>
      <c r="H6">
        <f>MAX(D6,DATA!$B$3)</f>
        <v>101524.58361748396</v>
      </c>
      <c r="I6">
        <f>G6*DATA!$B$7*1.5*F5*E6</f>
        <v>10315.106180778146</v>
      </c>
      <c r="J6">
        <f>H6*'LIFE TABLE MALE'!D66/1000*F5*E5</f>
        <v>400.79131546173483</v>
      </c>
      <c r="K6">
        <f>0</f>
        <v>0</v>
      </c>
      <c r="L6" s="43">
        <f>DATA!$B$8*((1+DATA!$B$9)^A5)*F6*E6</f>
        <v>18.572815855150591</v>
      </c>
      <c r="M6">
        <f>B5*EXP(RATES!O7)*(DATA!$B$12)</f>
        <v>1162.6537183188348</v>
      </c>
      <c r="N6">
        <f>C5*EXP(RATES!O7)*(DATA!$B$12)</f>
        <v>290.66342957970869</v>
      </c>
      <c r="O6">
        <f t="shared" si="3"/>
        <v>1453.3171478985435</v>
      </c>
      <c r="P6">
        <f t="shared" si="4"/>
        <v>508.7069032094048</v>
      </c>
      <c r="Q6">
        <f>RATES!G7</f>
        <v>0.90112326459071324</v>
      </c>
      <c r="R6" s="43">
        <f t="shared" si="5"/>
        <v>11243.177215304437</v>
      </c>
      <c r="S6">
        <f t="shared" si="6"/>
        <v>10131.488556627059</v>
      </c>
      <c r="T6">
        <f>C5*EXP(RATES!O7)*(DATA!$B$6-DATA!$B$12)</f>
        <v>166.09338833126208</v>
      </c>
      <c r="U6">
        <f>B5*EXP(RATES!O7)*(DATA!$B$6-DATA!$B$12)</f>
        <v>664.37355332504831</v>
      </c>
      <c r="V6">
        <f t="shared" si="7"/>
        <v>830.46694165631038</v>
      </c>
      <c r="W6">
        <f t="shared" si="8"/>
        <v>290.68965897680272</v>
      </c>
      <c r="X6">
        <f>W6*BASE!Q6</f>
        <v>261.9472144799376</v>
      </c>
    </row>
    <row r="7" spans="1:24" x14ac:dyDescent="0.3">
      <c r="A7" s="6">
        <v>5</v>
      </c>
      <c r="B7">
        <f>B6*EXP(RATES!O8)*(1-DATA!$B$6)</f>
        <v>81178.572400251767</v>
      </c>
      <c r="C7">
        <f>C6*EXP(RATES!O8)*(1-DATA!$B$6)</f>
        <v>20294.643100062942</v>
      </c>
      <c r="D7">
        <f t="shared" si="1"/>
        <v>101473.21550031471</v>
      </c>
      <c r="E7">
        <f>E6*(1-'LIFE TABLE MALE'!D67/1000)</f>
        <v>0.9609215763955995</v>
      </c>
      <c r="F7">
        <f t="shared" si="2"/>
        <v>0.27958155273437507</v>
      </c>
      <c r="G7">
        <f t="shared" si="0"/>
        <v>101453.21550031471</v>
      </c>
      <c r="H7">
        <f>MAX(D7,DATA!$B$3)</f>
        <v>101473.21550031471</v>
      </c>
      <c r="I7">
        <f>G7*DATA!$B$7*1.5*F6*E7</f>
        <v>7913.0350521297278</v>
      </c>
      <c r="J7">
        <f>H7*'LIFE TABLE MALE'!D67/1000*F6*E6</f>
        <v>342.85261368564755</v>
      </c>
      <c r="K7">
        <f>0</f>
        <v>0</v>
      </c>
      <c r="L7" s="43">
        <f>DATA!$B$8*((1+DATA!$B$9)^A6)*F7*E7</f>
        <v>14.54009181709878</v>
      </c>
      <c r="M7">
        <f>B6*EXP(RATES!O8)*(DATA!$B$12)</f>
        <v>1162.0654535823362</v>
      </c>
      <c r="N7">
        <f>C6*EXP(RATES!O8)*(DATA!$B$12)</f>
        <v>290.51636339558405</v>
      </c>
      <c r="O7">
        <f t="shared" si="3"/>
        <v>1452.5818169779202</v>
      </c>
      <c r="P7">
        <f t="shared" si="4"/>
        <v>390.24474274133053</v>
      </c>
      <c r="Q7">
        <f>RATES!G8</f>
        <v>0.88174468672828554</v>
      </c>
      <c r="R7" s="43">
        <f t="shared" si="5"/>
        <v>8660.6725003738047</v>
      </c>
      <c r="S7">
        <f t="shared" si="6"/>
        <v>7636.5019606983778</v>
      </c>
      <c r="T7">
        <f>C6*EXP(RATES!O8)*(DATA!$B$6-DATA!$B$12)</f>
        <v>166.00935051176228</v>
      </c>
      <c r="U7">
        <f>B6*EXP(RATES!O8)*(DATA!$B$6-DATA!$B$12)</f>
        <v>664.03740204704911</v>
      </c>
      <c r="V7">
        <f t="shared" si="7"/>
        <v>830.04675255881136</v>
      </c>
      <c r="W7">
        <f t="shared" si="8"/>
        <v>222.99699585218883</v>
      </c>
      <c r="X7">
        <f>W7*BASE!Q7</f>
        <v>196.62641624903702</v>
      </c>
    </row>
    <row r="8" spans="1:24" x14ac:dyDescent="0.3">
      <c r="A8" s="5">
        <v>6</v>
      </c>
      <c r="B8">
        <f>B7*EXP(RATES!O9)*(1-DATA!$B$6)</f>
        <v>81192.731414463822</v>
      </c>
      <c r="C8">
        <f>C7*EXP(RATES!O9)*(1-DATA!$B$6)</f>
        <v>20298.182853615956</v>
      </c>
      <c r="D8">
        <f t="shared" si="1"/>
        <v>101490.91426807978</v>
      </c>
      <c r="E8">
        <f>E7*(1-'LIFE TABLE MALE'!D68/1000)</f>
        <v>0.95054816852958335</v>
      </c>
      <c r="F8">
        <f t="shared" si="2"/>
        <v>0.21667570336914069</v>
      </c>
      <c r="G8">
        <f t="shared" si="0"/>
        <v>101470.91426807978</v>
      </c>
      <c r="H8">
        <f>MAX(D8,DATA!$B$3)</f>
        <v>101490.91426807978</v>
      </c>
      <c r="I8">
        <f>G8*DATA!$B$7*1.5*F7*E8</f>
        <v>6067.4573677472172</v>
      </c>
      <c r="J8">
        <f>H8*'LIFE TABLE MALE'!D68/1000*F7*E7</f>
        <v>294.34531748809303</v>
      </c>
      <c r="K8">
        <f>0</f>
        <v>0</v>
      </c>
      <c r="L8" s="43">
        <f>DATA!$B$8*((1+DATA!$B$9)^A7)*F8*E8</f>
        <v>11.369862367885696</v>
      </c>
      <c r="M8">
        <f>B7*EXP(RATES!O9)*(DATA!$B$12)</f>
        <v>1162.2681388573553</v>
      </c>
      <c r="N8">
        <f>C7*EXP(RATES!O9)*(DATA!$B$12)</f>
        <v>290.56703471433883</v>
      </c>
      <c r="O8">
        <f t="shared" si="3"/>
        <v>1452.8351735716942</v>
      </c>
      <c r="P8">
        <f t="shared" si="4"/>
        <v>299.22693916708232</v>
      </c>
      <c r="Q8">
        <f>RATES!G9</f>
        <v>0.86219592102620646</v>
      </c>
      <c r="R8" s="43">
        <f t="shared" si="5"/>
        <v>6672.3994867702786</v>
      </c>
      <c r="S8">
        <f t="shared" si="6"/>
        <v>5752.9156209506873</v>
      </c>
      <c r="T8">
        <f>C7*EXP(RATES!O9)*(DATA!$B$6-DATA!$B$12)</f>
        <v>166.03830555105071</v>
      </c>
      <c r="U8">
        <f>B7*EXP(RATES!O9)*(DATA!$B$6-DATA!$B$12)</f>
        <v>664.15322220420285</v>
      </c>
      <c r="V8">
        <f t="shared" si="7"/>
        <v>830.19152775525356</v>
      </c>
      <c r="W8">
        <f t="shared" si="8"/>
        <v>170.98682238118985</v>
      </c>
      <c r="X8">
        <f>W8*BASE!Q8</f>
        <v>147.42414080629436</v>
      </c>
    </row>
    <row r="9" spans="1:24" x14ac:dyDescent="0.3">
      <c r="A9" s="5">
        <v>7</v>
      </c>
      <c r="B9">
        <f>B8*EXP(RATES!O10)*(1-DATA!$B$6)</f>
        <v>81254.382012178379</v>
      </c>
      <c r="C9">
        <f>C8*EXP(RATES!O10)*(1-DATA!$B$6)</f>
        <v>20313.595503044595</v>
      </c>
      <c r="D9">
        <f t="shared" si="1"/>
        <v>101567.97751522297</v>
      </c>
      <c r="E9">
        <f>E8*(1-'LIFE TABLE MALE'!D69/1000)</f>
        <v>0.93939989246654454</v>
      </c>
      <c r="F9">
        <f t="shared" si="2"/>
        <v>0.16792367011108403</v>
      </c>
      <c r="G9">
        <f t="shared" si="0"/>
        <v>101547.97751522297</v>
      </c>
      <c r="H9">
        <f>MAX(D9,DATA!$B$3)</f>
        <v>101567.97751522297</v>
      </c>
      <c r="I9">
        <f>G9*DATA!$B$7*1.5*F8*E9</f>
        <v>4650.6592198949484</v>
      </c>
      <c r="J9">
        <f>H9*'LIFE TABLE MALE'!D69/1000*F8*E8</f>
        <v>245.34360037175318</v>
      </c>
      <c r="K9">
        <f>0</f>
        <v>0</v>
      </c>
      <c r="L9" s="43">
        <f>DATA!$B$8*((1+DATA!$B$9)^A8)*F9*E9</f>
        <v>8.8824640528709597</v>
      </c>
      <c r="M9">
        <f>B8*EXP(RATES!O10)*(DATA!$B$12)</f>
        <v>1163.1506627510198</v>
      </c>
      <c r="N9">
        <f>C8*EXP(RATES!O10)*(DATA!$B$12)</f>
        <v>290.78766568775495</v>
      </c>
      <c r="O9">
        <f t="shared" si="3"/>
        <v>1453.9383284387748</v>
      </c>
      <c r="P9">
        <f t="shared" si="4"/>
        <v>229.35510396251681</v>
      </c>
      <c r="Q9">
        <f>RATES!G10</f>
        <v>0.84258782390013232</v>
      </c>
      <c r="R9" s="43">
        <f t="shared" si="5"/>
        <v>5134.240388282089</v>
      </c>
      <c r="S9">
        <f t="shared" si="6"/>
        <v>4326.0484361427762</v>
      </c>
      <c r="T9">
        <f>C8*EXP(RATES!O10)*(DATA!$B$6-DATA!$B$12)</f>
        <v>166.1643803930028</v>
      </c>
      <c r="U9">
        <f>B8*EXP(RATES!O10)*(DATA!$B$6-DATA!$B$12)</f>
        <v>664.65752157201121</v>
      </c>
      <c r="V9">
        <f t="shared" si="7"/>
        <v>830.82190196501404</v>
      </c>
      <c r="W9">
        <f t="shared" si="8"/>
        <v>131.06005940715244</v>
      </c>
      <c r="X9">
        <f>W9*BASE!Q9</f>
        <v>110.42961025609463</v>
      </c>
    </row>
    <row r="10" spans="1:24" x14ac:dyDescent="0.3">
      <c r="A10" s="5">
        <v>8</v>
      </c>
      <c r="B10">
        <f>B9*EXP(RATES!O11)*(1-DATA!$B$6)</f>
        <v>81365.273383019157</v>
      </c>
      <c r="C10">
        <f>C9*EXP(RATES!O11)*(1-DATA!$B$6)</f>
        <v>20341.318345754789</v>
      </c>
      <c r="D10">
        <f t="shared" si="1"/>
        <v>101706.59172877394</v>
      </c>
      <c r="E10">
        <f>E9*(1-'LIFE TABLE MALE'!D70/1000)</f>
        <v>0.9273775090067512</v>
      </c>
      <c r="F10">
        <f t="shared" si="2"/>
        <v>0.13014084433609013</v>
      </c>
      <c r="G10">
        <f t="shared" si="0"/>
        <v>101686.59172877394</v>
      </c>
      <c r="H10">
        <f>MAX(D10,DATA!$B$3)</f>
        <v>101706.59172877394</v>
      </c>
      <c r="I10">
        <f>G10*DATA!$B$7*1.5*F9*E10</f>
        <v>3562.990676241544</v>
      </c>
      <c r="J10">
        <f>H10*'LIFE TABLE MALE'!D70/1000*F9*E9</f>
        <v>205.32961575088729</v>
      </c>
      <c r="K10">
        <f>0</f>
        <v>0</v>
      </c>
      <c r="L10" s="43">
        <f>DATA!$B$8*((1+DATA!$B$9)^A9)*F10*E10</f>
        <v>6.9317259739928607</v>
      </c>
      <c r="M10">
        <f>B9*EXP(RATES!O11)*(DATA!$B$12)</f>
        <v>1164.7380647875952</v>
      </c>
      <c r="N10">
        <f>C9*EXP(RATES!O11)*(DATA!$B$12)</f>
        <v>291.18451619689881</v>
      </c>
      <c r="O10">
        <f t="shared" si="3"/>
        <v>1455.9225809844941</v>
      </c>
      <c r="P10">
        <f t="shared" si="4"/>
        <v>175.71484793373918</v>
      </c>
      <c r="Q10">
        <f>RATES!G11</f>
        <v>0.82292780659029441</v>
      </c>
      <c r="R10" s="43">
        <f t="shared" si="5"/>
        <v>3950.9668659001632</v>
      </c>
      <c r="S10">
        <f t="shared" si="6"/>
        <v>3251.3604968661512</v>
      </c>
      <c r="T10">
        <f>C9*EXP(RATES!O11)*(DATA!$B$6-DATA!$B$12)</f>
        <v>166.39115211251357</v>
      </c>
      <c r="U10">
        <f>B9*EXP(RATES!O11)*(DATA!$B$6-DATA!$B$12)</f>
        <v>665.56460845005427</v>
      </c>
      <c r="V10">
        <f t="shared" si="7"/>
        <v>831.95576056256778</v>
      </c>
      <c r="W10">
        <f t="shared" si="8"/>
        <v>100.4084845335652</v>
      </c>
      <c r="X10">
        <f>W10*BASE!Q10</f>
        <v>82.628933940262314</v>
      </c>
    </row>
    <row r="11" spans="1:24" x14ac:dyDescent="0.3">
      <c r="A11" s="5">
        <v>9</v>
      </c>
      <c r="B11">
        <f>B10*EXP(RATES!O12)*(1-DATA!$B$6)</f>
        <v>81523.24029763104</v>
      </c>
      <c r="C11">
        <f>C10*EXP(RATES!O12)*(1-DATA!$B$6)</f>
        <v>20380.81007440776</v>
      </c>
      <c r="D11">
        <f t="shared" si="1"/>
        <v>101904.05037203879</v>
      </c>
      <c r="E11">
        <f>E10*(1-'LIFE TABLE MALE'!D71/1000)</f>
        <v>0.91441741759215689</v>
      </c>
      <c r="F11">
        <f t="shared" si="2"/>
        <v>0.10085915436046985</v>
      </c>
      <c r="G11">
        <f t="shared" si="0"/>
        <v>101884.05037203879</v>
      </c>
      <c r="H11">
        <f>MAX(D11,DATA!$B$3)</f>
        <v>101904.05037203879</v>
      </c>
      <c r="I11">
        <f>G11*DATA!$B$7*1.5*F10*E11</f>
        <v>2728.0154767002186</v>
      </c>
      <c r="J11">
        <f>H11*'LIFE TABLE MALE'!D71/1000*F10*E10</f>
        <v>171.87516619993448</v>
      </c>
      <c r="K11">
        <f>0</f>
        <v>0</v>
      </c>
      <c r="L11" s="43">
        <f>DATA!$B$8*((1+DATA!$B$9)^A10)*F11*E11</f>
        <v>5.402953014117033</v>
      </c>
      <c r="M11">
        <f>B10*EXP(RATES!O12)*(DATA!$B$12)</f>
        <v>1166.9993498638389</v>
      </c>
      <c r="N11">
        <f>C10*EXP(RATES!O12)*(DATA!$B$12)</f>
        <v>291.74983746595973</v>
      </c>
      <c r="O11">
        <f t="shared" si="3"/>
        <v>1458.7491873297986</v>
      </c>
      <c r="P11">
        <f t="shared" si="4"/>
        <v>134.53659734763934</v>
      </c>
      <c r="Q11">
        <f>RATES!G12</f>
        <v>0.80326389514893892</v>
      </c>
      <c r="R11" s="43">
        <f t="shared" si="5"/>
        <v>3039.8301932619097</v>
      </c>
      <c r="S11">
        <f t="shared" si="6"/>
        <v>2441.7858416309132</v>
      </c>
      <c r="T11">
        <f>C10*EXP(RATES!O12)*(DATA!$B$6-DATA!$B$12)</f>
        <v>166.71419283769126</v>
      </c>
      <c r="U11">
        <f>B10*EXP(RATES!O12)*(DATA!$B$6-DATA!$B$12)</f>
        <v>666.85677135076503</v>
      </c>
      <c r="V11">
        <f t="shared" si="7"/>
        <v>833.57096418845629</v>
      </c>
      <c r="W11">
        <f t="shared" si="8"/>
        <v>76.87805562722248</v>
      </c>
      <c r="X11">
        <f>W11*BASE!Q11</f>
        <v>61.753366414599533</v>
      </c>
    </row>
    <row r="12" spans="1:24" x14ac:dyDescent="0.3">
      <c r="A12" s="6">
        <v>10</v>
      </c>
      <c r="B12">
        <f>B11*EXP(RATES!O13)*(1-DATA!$B$6)</f>
        <v>81742.119978905175</v>
      </c>
      <c r="C12">
        <f>C11*EXP(RATES!O13)*(1-DATA!$B$6)</f>
        <v>20435.529994726294</v>
      </c>
      <c r="D12">
        <f t="shared" si="1"/>
        <v>102177.64997363147</v>
      </c>
      <c r="E12">
        <f>E11*(1-'LIFE TABLE MALE'!D72/1000)</f>
        <v>0.90009759511179277</v>
      </c>
      <c r="F12">
        <f t="shared" si="2"/>
        <v>7.8165844629364142E-2</v>
      </c>
      <c r="G12">
        <f t="shared" si="0"/>
        <v>102157.64997363147</v>
      </c>
      <c r="H12">
        <f>MAX(D12,DATA!$B$3)</f>
        <v>102177.64997363147</v>
      </c>
      <c r="I12">
        <f>G12*DATA!$B$7*1.5*F11*E12</f>
        <v>2086.6919273066092</v>
      </c>
      <c r="J12">
        <f>H12*'LIFE TABLE MALE'!D72/1000*F11*E11</f>
        <v>147.57366619328201</v>
      </c>
      <c r="K12">
        <f>0</f>
        <v>0</v>
      </c>
      <c r="L12" s="43">
        <f>DATA!$B$8*((1+DATA!$B$9)^A11)*F12*E12</f>
        <v>4.2041497460668484</v>
      </c>
      <c r="M12">
        <f>B11*EXP(RATES!O13)*(DATA!$B$12)</f>
        <v>1170.1325968350434</v>
      </c>
      <c r="N12">
        <f>C11*EXP(RATES!O13)*(DATA!$B$12)</f>
        <v>292.53314920876085</v>
      </c>
      <c r="O12">
        <f t="shared" si="3"/>
        <v>1462.6657460438041</v>
      </c>
      <c r="P12">
        <f t="shared" si="4"/>
        <v>102.9086112032232</v>
      </c>
      <c r="Q12">
        <f>RATES!G13</f>
        <v>0.78348852098697186</v>
      </c>
      <c r="R12" s="43">
        <f t="shared" si="5"/>
        <v>2341.3783544491812</v>
      </c>
      <c r="S12">
        <f t="shared" si="6"/>
        <v>1834.4430639982988</v>
      </c>
      <c r="T12">
        <f>C11*EXP(RATES!O13)*(DATA!$B$6-DATA!$B$12)</f>
        <v>167.1617995478633</v>
      </c>
      <c r="U12">
        <f>B11*EXP(RATES!O13)*(DATA!$B$6-DATA!$B$12)</f>
        <v>668.64719819145319</v>
      </c>
      <c r="V12">
        <f t="shared" si="7"/>
        <v>835.80899773931651</v>
      </c>
      <c r="W12">
        <f t="shared" si="8"/>
        <v>58.804920687556113</v>
      </c>
      <c r="X12">
        <f>W12*BASE!Q12</f>
        <v>46.072980336249522</v>
      </c>
    </row>
    <row r="13" spans="1:24" x14ac:dyDescent="0.3">
      <c r="A13" s="5">
        <v>11</v>
      </c>
      <c r="B13">
        <f>B12*EXP(RATES!O14)*(1-DATA!$B$6)</f>
        <v>82068.023997806304</v>
      </c>
      <c r="C13">
        <f>C12*EXP(RATES!O14)*(1-DATA!$B$6)</f>
        <v>20517.005999451576</v>
      </c>
      <c r="D13">
        <f t="shared" si="1"/>
        <v>102585.02999725788</v>
      </c>
      <c r="E13">
        <f>E12*(1-'LIFE TABLE MALE'!D73/1000)</f>
        <v>0.88436966777579928</v>
      </c>
      <c r="F13">
        <f t="shared" si="2"/>
        <v>6.057852958775721E-2</v>
      </c>
      <c r="G13">
        <f t="shared" si="0"/>
        <v>102565.02999725788</v>
      </c>
      <c r="H13">
        <f>MAX(D13,DATA!$B$3)</f>
        <v>102585.02999725788</v>
      </c>
      <c r="I13">
        <f>G13*DATA!$B$7*1.5*F12*E13</f>
        <v>1595.2644722278751</v>
      </c>
      <c r="J13">
        <f>H13*'LIFE TABLE MALE'!D73/1000*F12*E12</f>
        <v>126.11667400974984</v>
      </c>
      <c r="K13">
        <f>0</f>
        <v>0</v>
      </c>
      <c r="L13" s="43">
        <f>DATA!$B$8*((1+DATA!$B$9)^A12)*F13*E13</f>
        <v>3.2653090214256801</v>
      </c>
      <c r="M13">
        <f>B12*EXP(RATES!O14)*(DATA!$B$12)</f>
        <v>1174.7978895391495</v>
      </c>
      <c r="N13">
        <f>C12*EXP(RATES!O14)*(DATA!$B$12)</f>
        <v>293.69947238478738</v>
      </c>
      <c r="O13">
        <f t="shared" si="3"/>
        <v>1468.497361923937</v>
      </c>
      <c r="P13">
        <f t="shared" si="4"/>
        <v>78.673004653305412</v>
      </c>
      <c r="Q13">
        <f>RATES!G14</f>
        <v>0.76320887666583526</v>
      </c>
      <c r="R13" s="43">
        <f t="shared" si="5"/>
        <v>1803.319459912356</v>
      </c>
      <c r="S13">
        <f t="shared" si="6"/>
        <v>1376.30941926935</v>
      </c>
      <c r="T13">
        <f>C12*EXP(RATES!O14)*(DATA!$B$6-DATA!$B$12)</f>
        <v>167.82826993416418</v>
      </c>
      <c r="U13">
        <f>B12*EXP(RATES!O14)*(DATA!$B$6-DATA!$B$12)</f>
        <v>671.31307973665673</v>
      </c>
      <c r="V13">
        <f t="shared" si="7"/>
        <v>839.14134967082089</v>
      </c>
      <c r="W13">
        <f t="shared" si="8"/>
        <v>44.956002659031654</v>
      </c>
      <c r="X13">
        <f>W13*BASE!Q13</f>
        <v>34.310820288785848</v>
      </c>
    </row>
    <row r="14" spans="1:24" x14ac:dyDescent="0.3">
      <c r="A14" s="5">
        <v>12</v>
      </c>
      <c r="B14">
        <f>B13*EXP(RATES!O15)*(1-DATA!$B$6)</f>
        <v>82258.656528029838</v>
      </c>
      <c r="C14">
        <f>C13*EXP(RATES!O15)*(1-DATA!$B$6)</f>
        <v>20564.66413200746</v>
      </c>
      <c r="D14">
        <f t="shared" si="1"/>
        <v>102823.32066003729</v>
      </c>
      <c r="E14">
        <f>E13*(1-'LIFE TABLE MALE'!D74/1000)</f>
        <v>0.86691443914546784</v>
      </c>
      <c r="F14">
        <f t="shared" si="2"/>
        <v>4.6948360430511836E-2</v>
      </c>
      <c r="G14">
        <f t="shared" si="0"/>
        <v>102803.32066003729</v>
      </c>
      <c r="H14">
        <f>MAX(D14,DATA!$B$3)</f>
        <v>102823.32066003729</v>
      </c>
      <c r="I14">
        <f>G14*DATA!$B$7*1.5*F13*E14</f>
        <v>1214.7436158536957</v>
      </c>
      <c r="J14">
        <f>H14*'LIFE TABLE MALE'!D74/1000*F13*E13</f>
        <v>108.72662178741365</v>
      </c>
      <c r="K14">
        <f>0</f>
        <v>0</v>
      </c>
      <c r="L14" s="43">
        <f>DATA!$B$8*((1+DATA!$B$9)^A13)*F14*E14</f>
        <v>2.5302798694629223</v>
      </c>
      <c r="M14">
        <f>B13*EXP(RATES!O15)*(DATA!$B$12)</f>
        <v>1177.5267805648443</v>
      </c>
      <c r="N14">
        <f>C13*EXP(RATES!O15)*(DATA!$B$12)</f>
        <v>294.38169514121108</v>
      </c>
      <c r="O14">
        <f t="shared" si="3"/>
        <v>1471.9084757060555</v>
      </c>
      <c r="P14">
        <f t="shared" si="4"/>
        <v>59.906986345559368</v>
      </c>
      <c r="Q14">
        <f>RATES!G15</f>
        <v>0.74468847430975171</v>
      </c>
      <c r="R14" s="44">
        <f t="shared" si="5"/>
        <v>1385.9075038561316</v>
      </c>
      <c r="S14">
        <f t="shared" si="6"/>
        <v>1032.0693445810589</v>
      </c>
      <c r="T14">
        <f>C13*EXP(RATES!O15)*(DATA!$B$6-DATA!$B$12)</f>
        <v>168.21811150926345</v>
      </c>
      <c r="U14">
        <f>B13*EXP(RATES!O15)*(DATA!$B$6-DATA!$B$12)</f>
        <v>672.87244603705381</v>
      </c>
      <c r="V14">
        <f t="shared" si="7"/>
        <v>841.09055754631731</v>
      </c>
      <c r="W14">
        <f t="shared" si="8"/>
        <v>34.232563626033922</v>
      </c>
      <c r="X14">
        <f>W14*BASE!Q14</f>
        <v>25.492595578382705</v>
      </c>
    </row>
    <row r="15" spans="1:24" x14ac:dyDescent="0.3">
      <c r="A15" s="5">
        <v>13</v>
      </c>
      <c r="B15">
        <f>B14*EXP(RATES!O16)*(1-DATA!$B$6)</f>
        <v>82502.039008492662</v>
      </c>
      <c r="C15">
        <f>C14*EXP(RATES!O16)*(1-DATA!$B$6)</f>
        <v>20625.509752123166</v>
      </c>
      <c r="D15">
        <f t="shared" si="1"/>
        <v>103127.54876061583</v>
      </c>
      <c r="E15">
        <f>E14*(1-'LIFE TABLE MALE'!D75/1000)</f>
        <v>0.84808352308867097</v>
      </c>
      <c r="F15">
        <f t="shared" si="2"/>
        <v>3.6384979333646671E-2</v>
      </c>
      <c r="G15">
        <f t="shared" si="0"/>
        <v>103107.54876061583</v>
      </c>
      <c r="H15">
        <f>MAX(D15,DATA!$B$3)</f>
        <v>103127.54876061583</v>
      </c>
      <c r="I15">
        <f>G15*DATA!$B$7*1.5*F14*E15</f>
        <v>923.7023234996883</v>
      </c>
      <c r="J15">
        <f>H15*'LIFE TABLE MALE'!D75/1000*F14*E14</f>
        <v>91.173068719120479</v>
      </c>
      <c r="K15">
        <f>0</f>
        <v>0</v>
      </c>
      <c r="L15" s="43">
        <f>DATA!$B$8*((1+DATA!$B$9)^A14)*F15*E15</f>
        <v>1.9567386514172784</v>
      </c>
      <c r="M15">
        <f>B14*EXP(RATES!O16)*(DATA!$B$12)</f>
        <v>1181.0107833526558</v>
      </c>
      <c r="N15">
        <f>C14*EXP(RATES!O16)*(DATA!$B$12)</f>
        <v>295.25269583816396</v>
      </c>
      <c r="O15">
        <f t="shared" si="3"/>
        <v>1476.2634791908199</v>
      </c>
      <c r="P15">
        <f t="shared" si="4"/>
        <v>45.553802465638043</v>
      </c>
      <c r="Q15">
        <f>RATES!G16</f>
        <v>0.72615681422166556</v>
      </c>
      <c r="R15" s="44">
        <f t="shared" si="5"/>
        <v>1062.3859333358641</v>
      </c>
      <c r="S15">
        <f t="shared" si="6"/>
        <v>771.45878482508192</v>
      </c>
      <c r="T15">
        <f>C14*EXP(RATES!O16)*(DATA!$B$6-DATA!$B$12)</f>
        <v>168.7158261932365</v>
      </c>
      <c r="U15">
        <f>B14*EXP(RATES!O16)*(DATA!$B$6-DATA!$B$12)</f>
        <v>674.86330477294598</v>
      </c>
      <c r="V15">
        <f t="shared" si="7"/>
        <v>843.57913096618245</v>
      </c>
      <c r="W15">
        <f t="shared" si="8"/>
        <v>26.030744266078869</v>
      </c>
      <c r="X15">
        <f>W15*BASE!Q15</f>
        <v>18.902402328074718</v>
      </c>
    </row>
    <row r="16" spans="1:24" x14ac:dyDescent="0.3">
      <c r="A16" s="5">
        <v>14</v>
      </c>
      <c r="B16">
        <f>B15*EXP(RATES!O17)*(1-DATA!$B$6)</f>
        <v>82776.822411940768</v>
      </c>
      <c r="C16">
        <f>C15*EXP(RATES!O17)*(1-DATA!$B$6)</f>
        <v>20694.205602985192</v>
      </c>
      <c r="D16">
        <f t="shared" si="1"/>
        <v>103471.02801492596</v>
      </c>
      <c r="E16">
        <f>E15*(1-'LIFE TABLE MALE'!D76/1000)</f>
        <v>0.82779649169036118</v>
      </c>
      <c r="F16">
        <f t="shared" si="2"/>
        <v>2.8198358983576172E-2</v>
      </c>
      <c r="G16">
        <f t="shared" si="0"/>
        <v>103451.02801492596</v>
      </c>
      <c r="H16">
        <f>MAX(D16,DATA!$B$3)</f>
        <v>103471.02801492596</v>
      </c>
      <c r="I16">
        <f>G16*DATA!$B$7*1.5*F15*E16</f>
        <v>701.07267900347335</v>
      </c>
      <c r="J16">
        <f>H16*'LIFE TABLE MALE'!D76/1000*F15*E15</f>
        <v>76.376437606144904</v>
      </c>
      <c r="K16">
        <f>0</f>
        <v>0</v>
      </c>
      <c r="L16" s="43">
        <f>DATA!$B$8*((1+DATA!$B$9)^A15)*F16*E16</f>
        <v>1.5098008091970243</v>
      </c>
      <c r="M16">
        <f>B15*EXP(RATES!O17)*(DATA!$B$12)</f>
        <v>1184.9442881054915</v>
      </c>
      <c r="N16">
        <f>C15*EXP(RATES!O17)*(DATA!$B$12)</f>
        <v>296.23607202637288</v>
      </c>
      <c r="O16">
        <f t="shared" si="3"/>
        <v>1481.1803601318643</v>
      </c>
      <c r="P16">
        <f t="shared" si="4"/>
        <v>34.574456463775867</v>
      </c>
      <c r="Q16">
        <f>RATES!G17</f>
        <v>0.70782386801134656</v>
      </c>
      <c r="R16" s="44">
        <f t="shared" si="5"/>
        <v>813.53337388259115</v>
      </c>
      <c r="S16">
        <f t="shared" si="6"/>
        <v>575.83833945789661</v>
      </c>
      <c r="T16">
        <f>C15*EXP(RATES!O17)*(DATA!$B$6-DATA!$B$12)</f>
        <v>169.27775544364161</v>
      </c>
      <c r="U16">
        <f>B15*EXP(RATES!O17)*(DATA!$B$6-DATA!$B$12)</f>
        <v>677.11102177456644</v>
      </c>
      <c r="V16">
        <f t="shared" si="7"/>
        <v>846.38877721820802</v>
      </c>
      <c r="W16">
        <f t="shared" si="8"/>
        <v>19.756832265014783</v>
      </c>
      <c r="X16">
        <f>W16*BASE!Q16</f>
        <v>13.984357433474136</v>
      </c>
    </row>
    <row r="17" spans="1:24" x14ac:dyDescent="0.3">
      <c r="A17" s="6">
        <v>15</v>
      </c>
      <c r="B17">
        <f>B16*EXP(RATES!O18)*(1-DATA!$B$6)</f>
        <v>82966.673538954565</v>
      </c>
      <c r="C17">
        <f>C16*EXP(RATES!O18)*(1-DATA!$B$6)</f>
        <v>20741.668384738641</v>
      </c>
      <c r="D17">
        <f t="shared" si="1"/>
        <v>103708.34192369321</v>
      </c>
      <c r="E17">
        <f>E16*(1-'LIFE TABLE MALE'!D77/1000)</f>
        <v>0.80629125769035137</v>
      </c>
      <c r="F17">
        <f t="shared" si="2"/>
        <v>2.1853728212271533E-2</v>
      </c>
      <c r="G17">
        <f t="shared" si="0"/>
        <v>103688.34192369321</v>
      </c>
      <c r="H17">
        <f>MAX(D17,DATA!$B$3)</f>
        <v>103708.34192369321</v>
      </c>
      <c r="I17">
        <f>G17*DATA!$B$7*1.5*F16*E17</f>
        <v>530.43018932496796</v>
      </c>
      <c r="J17">
        <f>H17*'LIFE TABLE MALE'!D77/1000*F16*E16</f>
        <v>62.890015021936286</v>
      </c>
      <c r="K17">
        <f>0</f>
        <v>0</v>
      </c>
      <c r="L17" s="43">
        <f>DATA!$B$8*((1+DATA!$B$9)^A16)*F17*E17</f>
        <v>1.1624917983718841</v>
      </c>
      <c r="M17">
        <f>B16*EXP(RATES!O18)*(DATA!$B$12)</f>
        <v>1187.6619934001676</v>
      </c>
      <c r="N17">
        <f>C16*EXP(RATES!O18)*(DATA!$B$12)</f>
        <v>296.9154983500419</v>
      </c>
      <c r="O17">
        <f t="shared" si="3"/>
        <v>1484.5774917502094</v>
      </c>
      <c r="P17">
        <f t="shared" si="4"/>
        <v>26.158953164218349</v>
      </c>
      <c r="Q17">
        <f>RATES!G18</f>
        <v>0.6906676758678868</v>
      </c>
      <c r="R17" s="44">
        <f t="shared" si="5"/>
        <v>620.64164930949448</v>
      </c>
      <c r="S17">
        <f t="shared" si="6"/>
        <v>428.65712547540062</v>
      </c>
      <c r="T17">
        <f>C16*EXP(RATES!O18)*(DATA!$B$6-DATA!$B$12)</f>
        <v>169.66599905716677</v>
      </c>
      <c r="U17">
        <f>B16*EXP(RATES!O18)*(DATA!$B$6-DATA!$B$12)</f>
        <v>678.66399622866709</v>
      </c>
      <c r="V17">
        <f t="shared" si="7"/>
        <v>848.32999528583389</v>
      </c>
      <c r="W17">
        <f t="shared" si="8"/>
        <v>14.9479732366962</v>
      </c>
      <c r="X17">
        <f>W17*BASE!Q17</f>
        <v>10.324081934324338</v>
      </c>
    </row>
    <row r="18" spans="1:24" x14ac:dyDescent="0.3">
      <c r="A18" s="5">
        <v>16</v>
      </c>
      <c r="B18">
        <f>B17*EXP(RATES!O19)*(1-DATA!$B$6)</f>
        <v>83012.664280582845</v>
      </c>
      <c r="C18">
        <f>C17*EXP(RATES!O19)*(1-DATA!$B$6)</f>
        <v>20753.166070145711</v>
      </c>
      <c r="D18">
        <f t="shared" si="1"/>
        <v>103765.83035072856</v>
      </c>
      <c r="E18">
        <f>E17*(1-'LIFE TABLE MALE'!D78/1000)</f>
        <v>0.78272955654492149</v>
      </c>
      <c r="F18">
        <f t="shared" si="2"/>
        <v>1.6936639364510439E-2</v>
      </c>
      <c r="G18">
        <f t="shared" si="0"/>
        <v>103745.83035072856</v>
      </c>
      <c r="H18">
        <f>MAX(D18,DATA!$B$3)</f>
        <v>103765.83035072856</v>
      </c>
      <c r="I18">
        <f>G18*DATA!$B$7*1.5*F17*E18</f>
        <v>399.29184478901925</v>
      </c>
      <c r="J18">
        <f>H18*'LIFE TABLE MALE'!D78/1000*F17*E17</f>
        <v>53.430168825971023</v>
      </c>
      <c r="K18">
        <f>0</f>
        <v>0</v>
      </c>
      <c r="L18" s="43">
        <f>DATA!$B$8*((1+DATA!$B$9)^A17)*F18*E18</f>
        <v>0.89209592246908453</v>
      </c>
      <c r="M18">
        <f>B17*EXP(RATES!O19)*(DATA!$B$12)</f>
        <v>1188.3203475748055</v>
      </c>
      <c r="N18">
        <f>C17*EXP(RATES!O19)*(DATA!$B$12)</f>
        <v>297.08008689370138</v>
      </c>
      <c r="O18">
        <f t="shared" si="3"/>
        <v>1485.4004344685068</v>
      </c>
      <c r="P18">
        <f t="shared" si="4"/>
        <v>19.691668688382936</v>
      </c>
      <c r="Q18">
        <f>RATES!G19</f>
        <v>0.67509876092267374</v>
      </c>
      <c r="R18" s="44">
        <f t="shared" si="5"/>
        <v>473.30577822584229</v>
      </c>
      <c r="S18">
        <f t="shared" si="6"/>
        <v>319.52814441780794</v>
      </c>
      <c r="T18">
        <f>C17*EXP(RATES!O19)*(DATA!$B$6-DATA!$B$12)</f>
        <v>169.76004965354363</v>
      </c>
      <c r="U18">
        <f>B17*EXP(RATES!O19)*(DATA!$B$6-DATA!$B$12)</f>
        <v>679.04019861417453</v>
      </c>
      <c r="V18">
        <f t="shared" si="7"/>
        <v>848.80024826771819</v>
      </c>
      <c r="W18">
        <f t="shared" si="8"/>
        <v>11.252382107647394</v>
      </c>
      <c r="X18">
        <f>W18*BASE!Q18</f>
        <v>7.5964692183012197</v>
      </c>
    </row>
    <row r="19" spans="1:24" x14ac:dyDescent="0.3">
      <c r="A19" s="5">
        <v>17</v>
      </c>
      <c r="B19">
        <f>B18*EXP(RATES!O20)*(1-DATA!$B$6)</f>
        <v>82929.076023361471</v>
      </c>
      <c r="C19">
        <f>C18*EXP(RATES!O20)*(1-DATA!$B$6)</f>
        <v>20732.269005840368</v>
      </c>
      <c r="D19">
        <f t="shared" si="1"/>
        <v>103661.34502920184</v>
      </c>
      <c r="E19">
        <f>E18*(1-'LIFE TABLE MALE'!D79/1000)</f>
        <v>0.75700168217713715</v>
      </c>
      <c r="F19">
        <f t="shared" si="2"/>
        <v>1.3125895507495591E-2</v>
      </c>
      <c r="G19">
        <f t="shared" si="0"/>
        <v>103641.34502920184</v>
      </c>
      <c r="H19">
        <f>MAX(D19,DATA!$B$3)</f>
        <v>103661.34502920184</v>
      </c>
      <c r="I19">
        <f>G19*DATA!$B$7*1.5*F18*E19</f>
        <v>298.97828288631143</v>
      </c>
      <c r="J19">
        <f>H19*'LIFE TABLE MALE'!D79/1000*F18*E18</f>
        <v>45.169781117304908</v>
      </c>
      <c r="K19">
        <f>0</f>
        <v>0</v>
      </c>
      <c r="L19" s="43">
        <f>DATA!$B$8*((1+DATA!$B$9)^A18)*F19*E19</f>
        <v>0.68202224463283545</v>
      </c>
      <c r="M19">
        <f>B18*EXP(RATES!O20)*(DATA!$B$12)</f>
        <v>1187.1237876554812</v>
      </c>
      <c r="N19">
        <f>C18*EXP(RATES!O20)*(DATA!$B$12)</f>
        <v>296.78094691387031</v>
      </c>
      <c r="O19">
        <f t="shared" si="3"/>
        <v>1483.9047345693516</v>
      </c>
      <c r="P19">
        <f t="shared" si="4"/>
        <v>14.744559680936938</v>
      </c>
      <c r="Q19">
        <f>RATES!G20</f>
        <v>0.66091208289531467</v>
      </c>
      <c r="R19" s="44">
        <f t="shared" si="5"/>
        <v>359.57464592918609</v>
      </c>
      <c r="S19">
        <f t="shared" si="6"/>
        <v>237.64722819740365</v>
      </c>
      <c r="T19">
        <f>C18*EXP(RATES!O20)*(DATA!$B$6-DATA!$B$12)</f>
        <v>169.58911252221156</v>
      </c>
      <c r="U19">
        <f>B18*EXP(RATES!O20)*(DATA!$B$6-DATA!$B$12)</f>
        <v>678.35645008884626</v>
      </c>
      <c r="V19">
        <f t="shared" si="7"/>
        <v>847.94556261105777</v>
      </c>
      <c r="W19">
        <f t="shared" si="8"/>
        <v>8.4254626748211034</v>
      </c>
      <c r="X19">
        <f>W19*BASE!Q19</f>
        <v>5.5684900857727451</v>
      </c>
    </row>
    <row r="20" spans="1:24" x14ac:dyDescent="0.3">
      <c r="A20" s="5">
        <v>18</v>
      </c>
      <c r="B20">
        <f>B19*EXP(RATES!O21)*(1-DATA!$B$6)</f>
        <v>82813.18390319946</v>
      </c>
      <c r="C20">
        <f>C19*EXP(RATES!O21)*(1-DATA!$B$6)</f>
        <v>20703.295975799865</v>
      </c>
      <c r="D20">
        <f t="shared" si="1"/>
        <v>103516.47987899932</v>
      </c>
      <c r="E20">
        <f>E19*(1-'LIFE TABLE MALE'!D80/1000)</f>
        <v>0.72857800254523786</v>
      </c>
      <c r="F20">
        <f t="shared" si="2"/>
        <v>1.0172569018309083E-2</v>
      </c>
      <c r="G20">
        <f t="shared" si="0"/>
        <v>103496.47987899932</v>
      </c>
      <c r="H20">
        <f>MAX(D20,DATA!$B$3)</f>
        <v>103516.47987899932</v>
      </c>
      <c r="I20">
        <f>G20*DATA!$B$7*1.5*F19*E20</f>
        <v>222.6963475903535</v>
      </c>
      <c r="J20">
        <f>H20*'LIFE TABLE MALE'!D80/1000*F19*E19</f>
        <v>38.620575165674381</v>
      </c>
      <c r="K20">
        <f>0</f>
        <v>0</v>
      </c>
      <c r="L20" s="43">
        <f>DATA!$B$8*((1+DATA!$B$9)^A19)*F20*E20</f>
        <v>0.51889516516606093</v>
      </c>
      <c r="M20">
        <f>B19*EXP(RATES!O21)*(DATA!$B$12)</f>
        <v>1185.464800250299</v>
      </c>
      <c r="N20">
        <f>C19*EXP(RATES!O21)*(DATA!$B$12)</f>
        <v>296.36620006257476</v>
      </c>
      <c r="O20">
        <f t="shared" si="3"/>
        <v>1481.8310003128738</v>
      </c>
      <c r="P20">
        <f t="shared" si="4"/>
        <v>10.982605301005911</v>
      </c>
      <c r="Q20">
        <f>RATES!G21</f>
        <v>0.64727657622441381</v>
      </c>
      <c r="R20" s="44">
        <f t="shared" si="5"/>
        <v>272.81842322219984</v>
      </c>
      <c r="S20">
        <f t="shared" si="6"/>
        <v>176.58897491420862</v>
      </c>
      <c r="T20">
        <f>C19*EXP(RATES!O21)*(DATA!$B$6-DATA!$B$12)</f>
        <v>169.35211432147125</v>
      </c>
      <c r="U20">
        <f>B19*EXP(RATES!O21)*(DATA!$B$6-DATA!$B$12)</f>
        <v>677.40845728588499</v>
      </c>
      <c r="V20">
        <f t="shared" si="7"/>
        <v>846.76057160735627</v>
      </c>
      <c r="W20">
        <f t="shared" si="8"/>
        <v>6.2757744577176622</v>
      </c>
      <c r="X20">
        <f>W20*BASE!Q20</f>
        <v>4.0621618041481158</v>
      </c>
    </row>
    <row r="21" spans="1:24" x14ac:dyDescent="0.3">
      <c r="A21" s="5">
        <v>19</v>
      </c>
      <c r="B21">
        <f>B20*EXP(RATES!O22)*(1-DATA!$B$6)</f>
        <v>82680.449851873433</v>
      </c>
      <c r="C21">
        <f>C20*EXP(RATES!O22)*(1-DATA!$B$6)</f>
        <v>20670.112462968358</v>
      </c>
      <c r="D21">
        <f t="shared" si="1"/>
        <v>103350.56231484179</v>
      </c>
      <c r="E21">
        <f>E20*(1-'LIFE TABLE MALE'!D81/1000)</f>
        <v>0.69834190615291014</v>
      </c>
      <c r="F21">
        <f t="shared" si="2"/>
        <v>7.8837409891895395E-3</v>
      </c>
      <c r="G21">
        <f t="shared" si="0"/>
        <v>103330.56231484179</v>
      </c>
      <c r="H21">
        <f>MAX(D21,DATA!$B$3)</f>
        <v>103350.56231484179</v>
      </c>
      <c r="I21">
        <f>G21*DATA!$B$7*1.5*F20*E21</f>
        <v>165.16197214710792</v>
      </c>
      <c r="J21">
        <f>H21*'LIFE TABLE MALE'!D81/1000*F20*E20</f>
        <v>31.788439599905505</v>
      </c>
      <c r="K21">
        <f>0</f>
        <v>0</v>
      </c>
      <c r="L21" s="43">
        <f>DATA!$B$8*((1+DATA!$B$9)^A20)*F21*E21</f>
        <v>0.39316382147113049</v>
      </c>
      <c r="M21">
        <f>B20*EXP(RATES!O22)*(DATA!$B$12)</f>
        <v>1183.5647218059592</v>
      </c>
      <c r="N21">
        <f>C20*EXP(RATES!O22)*(DATA!$B$12)</f>
        <v>295.89118045148979</v>
      </c>
      <c r="O21">
        <f t="shared" si="3"/>
        <v>1479.455902257449</v>
      </c>
      <c r="P21">
        <f t="shared" si="4"/>
        <v>8.1452135752731252</v>
      </c>
      <c r="Q21">
        <f>RATES!G22</f>
        <v>0.63405275958074025</v>
      </c>
      <c r="R21" s="44">
        <f t="shared" si="5"/>
        <v>205.48878914375769</v>
      </c>
      <c r="S21">
        <f t="shared" si="6"/>
        <v>130.29073381950442</v>
      </c>
      <c r="T21">
        <f>C20*EXP(RATES!O22)*(DATA!$B$6-DATA!$B$12)</f>
        <v>169.08067454370843</v>
      </c>
      <c r="U21">
        <f>B20*EXP(RATES!O22)*(DATA!$B$6-DATA!$B$12)</f>
        <v>676.3226981748337</v>
      </c>
      <c r="V21">
        <f t="shared" si="7"/>
        <v>845.40337271854219</v>
      </c>
      <c r="W21">
        <f t="shared" si="8"/>
        <v>4.6544077572989284</v>
      </c>
      <c r="X21">
        <f>W21*BASE!Q21</f>
        <v>2.9511400827293901</v>
      </c>
    </row>
    <row r="22" spans="1:24" x14ac:dyDescent="0.3">
      <c r="A22" s="6">
        <v>20</v>
      </c>
      <c r="B22">
        <f>B21*EXP(RATES!O23)*(1-DATA!$B$6)</f>
        <v>82630.136364810009</v>
      </c>
      <c r="C22">
        <f>C21*EXP(RATES!O23)*(1-DATA!$B$6)</f>
        <v>20657.534091202502</v>
      </c>
      <c r="D22">
        <f t="shared" si="1"/>
        <v>103287.67045601251</v>
      </c>
      <c r="E22">
        <f>E21*(1-'LIFE TABLE MALE'!D82/1000)</f>
        <v>0.66548978691150162</v>
      </c>
      <c r="F22">
        <f t="shared" si="2"/>
        <v>6.1098992666218932E-3</v>
      </c>
      <c r="G22">
        <f t="shared" si="0"/>
        <v>103267.67045601251</v>
      </c>
      <c r="H22">
        <f>MAX(D22,DATA!$B$3)</f>
        <v>103287.67045601251</v>
      </c>
      <c r="I22">
        <f>G22*DATA!$B$7*1.5*F21*E22</f>
        <v>121.90475353995639</v>
      </c>
      <c r="J22">
        <f>H22*'LIFE TABLE MALE'!D82/1000*F21*E21</f>
        <v>26.751258659082684</v>
      </c>
      <c r="K22">
        <f>0</f>
        <v>0</v>
      </c>
      <c r="L22" s="43">
        <f>DATA!$B$8*((1+DATA!$B$9)^A21)*F22*E22</f>
        <v>0.29617521527998342</v>
      </c>
      <c r="M22">
        <f>B21*EXP(RATES!O23)*(DATA!$B$12)</f>
        <v>1182.8444878398161</v>
      </c>
      <c r="N22">
        <f>C21*EXP(RATES!O23)*(DATA!$B$12)</f>
        <v>295.71112195995403</v>
      </c>
      <c r="O22">
        <f t="shared" si="3"/>
        <v>1478.5556097997701</v>
      </c>
      <c r="P22">
        <f t="shared" si="4"/>
        <v>6.0119188305788214</v>
      </c>
      <c r="Q22">
        <f>RATES!G23</f>
        <v>0.62048117992903407</v>
      </c>
      <c r="R22" s="44">
        <f t="shared" si="5"/>
        <v>154.96410624489789</v>
      </c>
      <c r="S22">
        <f t="shared" si="6"/>
        <v>96.152311489482443</v>
      </c>
      <c r="T22">
        <f>C21*EXP(RATES!O23)*(DATA!$B$6-DATA!$B$12)</f>
        <v>168.97778397711653</v>
      </c>
      <c r="U22">
        <f>B21*EXP(RATES!O23)*(DATA!$B$6-DATA!$B$12)</f>
        <v>675.91113590846612</v>
      </c>
      <c r="V22">
        <f t="shared" si="7"/>
        <v>844.88891988558271</v>
      </c>
      <c r="W22">
        <f t="shared" si="8"/>
        <v>3.4353821889021829</v>
      </c>
      <c r="X22">
        <f>W22*BASE!Q22</f>
        <v>2.1315899940772143</v>
      </c>
    </row>
    <row r="23" spans="1:24" x14ac:dyDescent="0.3">
      <c r="A23" s="5">
        <v>21</v>
      </c>
      <c r="B23">
        <f>B22*EXP(RATES!O24)*(1-DATA!$B$6)</f>
        <v>82662.12593342422</v>
      </c>
      <c r="C23">
        <f>C22*EXP(RATES!O24)*(1-DATA!$B$6)</f>
        <v>20665.531483356055</v>
      </c>
      <c r="D23">
        <f t="shared" si="1"/>
        <v>103327.65741678028</v>
      </c>
      <c r="E23">
        <f>E22*(1-'LIFE TABLE MALE'!D83/1000)</f>
        <v>0.63037147159761586</v>
      </c>
      <c r="F23">
        <f t="shared" si="2"/>
        <v>4.7351719316319676E-3</v>
      </c>
      <c r="G23">
        <f t="shared" si="0"/>
        <v>103307.65741678028</v>
      </c>
      <c r="H23">
        <f>MAX(D23,DATA!$B$3)</f>
        <v>103327.65741678028</v>
      </c>
      <c r="I23">
        <f>G23*DATA!$B$7*1.5*F22*E23</f>
        <v>89.525268500209364</v>
      </c>
      <c r="J23">
        <f>H23*'LIFE TABLE MALE'!D83/1000*F22*E22</f>
        <v>22.170950250235169</v>
      </c>
      <c r="K23">
        <f>0</f>
        <v>0</v>
      </c>
      <c r="L23" s="43">
        <f>DATA!$B$8*((1+DATA!$B$9)^A22)*F23*E23</f>
        <v>0.22177150436891538</v>
      </c>
      <c r="M23">
        <f>B22*EXP(RATES!O24)*(DATA!$B$12)</f>
        <v>1183.3024162248867</v>
      </c>
      <c r="N23">
        <f>C22*EXP(RATES!O24)*(DATA!$B$12)</f>
        <v>295.82560405622166</v>
      </c>
      <c r="O23">
        <f t="shared" si="3"/>
        <v>1479.1280202811083</v>
      </c>
      <c r="P23">
        <f t="shared" si="4"/>
        <v>4.4150748148925096</v>
      </c>
      <c r="Q23">
        <f>RATES!G24</f>
        <v>0.60659575547952316</v>
      </c>
      <c r="R23" s="44">
        <f t="shared" si="5"/>
        <v>116.33306506970595</v>
      </c>
      <c r="S23">
        <f t="shared" si="6"/>
        <v>70.567143493206814</v>
      </c>
      <c r="T23">
        <f>C22*EXP(RATES!O24)*(DATA!$B$6-DATA!$B$12)</f>
        <v>169.04320231784092</v>
      </c>
      <c r="U23">
        <f>B22*EXP(RATES!O24)*(DATA!$B$6-DATA!$B$12)</f>
        <v>676.17280927136369</v>
      </c>
      <c r="V23">
        <f t="shared" si="7"/>
        <v>845.21601158920464</v>
      </c>
      <c r="W23">
        <f t="shared" si="8"/>
        <v>2.5228998942242913</v>
      </c>
      <c r="X23">
        <f>W23*BASE!Q23</f>
        <v>1.5303803673361931</v>
      </c>
    </row>
    <row r="24" spans="1:24" x14ac:dyDescent="0.3">
      <c r="A24" s="5">
        <v>22</v>
      </c>
      <c r="B24">
        <f>B23*EXP(RATES!O25)*(1-DATA!$B$6)</f>
        <v>82791.080503122896</v>
      </c>
      <c r="C24">
        <f>C23*EXP(RATES!O25)*(1-DATA!$B$6)</f>
        <v>20697.770125780724</v>
      </c>
      <c r="D24">
        <f t="shared" si="1"/>
        <v>103488.85062890362</v>
      </c>
      <c r="E24">
        <f>E23*(1-'LIFE TABLE MALE'!D84/1000)</f>
        <v>0.59321032950859998</v>
      </c>
      <c r="F24">
        <f t="shared" si="2"/>
        <v>3.6697582470147749E-3</v>
      </c>
      <c r="G24">
        <f t="shared" si="0"/>
        <v>103468.85062890362</v>
      </c>
      <c r="H24">
        <f>MAX(D24,DATA!$B$3)</f>
        <v>103488.85062890362</v>
      </c>
      <c r="I24">
        <f>G24*DATA!$B$7*1.5*F23*E24</f>
        <v>65.393803850500575</v>
      </c>
      <c r="J24">
        <f>H24*'LIFE TABLE MALE'!D84/1000*F23*E23</f>
        <v>18.210353193753559</v>
      </c>
      <c r="K24">
        <f>0</f>
        <v>0</v>
      </c>
      <c r="L24" s="43">
        <f>DATA!$B$8*((1+DATA!$B$9)^A23)*F24*E24</f>
        <v>0.1649756207780822</v>
      </c>
      <c r="M24">
        <f>B23*EXP(RATES!O25)*(DATA!$B$12)</f>
        <v>1185.148391660246</v>
      </c>
      <c r="N24">
        <f>C23*EXP(RATES!O25)*(DATA!$B$12)</f>
        <v>296.28709791506151</v>
      </c>
      <c r="O24">
        <f t="shared" si="3"/>
        <v>1481.4354895753077</v>
      </c>
      <c r="P24">
        <f t="shared" si="4"/>
        <v>3.2249939509355325</v>
      </c>
      <c r="Q24">
        <f>RATES!G25</f>
        <v>0.59232660750473398</v>
      </c>
      <c r="R24" s="44">
        <f t="shared" si="5"/>
        <v>86.994126615967744</v>
      </c>
      <c r="S24">
        <f t="shared" si="6"/>
        <v>51.528935891273456</v>
      </c>
      <c r="T24">
        <f>C23*EXP(RATES!O25)*(DATA!$B$6-DATA!$B$12)</f>
        <v>169.30691309432083</v>
      </c>
      <c r="U24">
        <f>B23*EXP(RATES!O25)*(DATA!$B$6-DATA!$B$12)</f>
        <v>677.22765237728333</v>
      </c>
      <c r="V24">
        <f t="shared" si="7"/>
        <v>846.5345654716042</v>
      </c>
      <c r="W24">
        <f t="shared" si="8"/>
        <v>1.8428536862488754</v>
      </c>
      <c r="X24">
        <f>W24*BASE!Q24</f>
        <v>1.0915712721033897</v>
      </c>
    </row>
    <row r="25" spans="1:24" x14ac:dyDescent="0.3">
      <c r="A25" s="5">
        <v>23</v>
      </c>
      <c r="B25">
        <f>B24*EXP(RATES!O26)*(1-DATA!$B$6)</f>
        <v>82994.7603613877</v>
      </c>
      <c r="C25">
        <f>C24*EXP(RATES!O26)*(1-DATA!$B$6)</f>
        <v>20748.690090346925</v>
      </c>
      <c r="D25">
        <f t="shared" si="1"/>
        <v>103743.45045173462</v>
      </c>
      <c r="E25">
        <f>E24*(1-'LIFE TABLE MALE'!D85/1000)</f>
        <v>0.55421480613968421</v>
      </c>
      <c r="F25">
        <f t="shared" si="2"/>
        <v>2.8440626414364505E-3</v>
      </c>
      <c r="G25">
        <f t="shared" si="0"/>
        <v>103723.45045173462</v>
      </c>
      <c r="H25">
        <f>MAX(D25,DATA!$B$3)</f>
        <v>103743.45045173462</v>
      </c>
      <c r="I25">
        <f>G25*DATA!$B$7*1.5*F24*E25</f>
        <v>47.465171323746596</v>
      </c>
      <c r="J25">
        <f>H25*'LIFE TABLE MALE'!D85/1000*F24*E24</f>
        <v>14.846117618527897</v>
      </c>
      <c r="K25">
        <f>0</f>
        <v>0</v>
      </c>
      <c r="L25" s="43">
        <f>DATA!$B$8*((1+DATA!$B$9)^A24)*F25*E25</f>
        <v>0.12184032948091467</v>
      </c>
      <c r="M25">
        <f>B24*EXP(RATES!O26)*(DATA!$B$12)</f>
        <v>1188.0640542529939</v>
      </c>
      <c r="N25">
        <f>C24*EXP(RATES!O26)*(DATA!$B$12)</f>
        <v>297.01601356324846</v>
      </c>
      <c r="O25">
        <f t="shared" si="3"/>
        <v>1485.0800678162423</v>
      </c>
      <c r="P25">
        <f t="shared" si="4"/>
        <v>2.3408153184506038</v>
      </c>
      <c r="Q25">
        <f>RATES!G26</f>
        <v>0.57787375637469385</v>
      </c>
      <c r="R25" s="44">
        <f t="shared" si="5"/>
        <v>64.773944590206014</v>
      </c>
      <c r="S25">
        <f t="shared" si="6"/>
        <v>37.431162675548627</v>
      </c>
      <c r="T25">
        <f>C24*EXP(RATES!O26)*(DATA!$B$6-DATA!$B$12)</f>
        <v>169.72343632185621</v>
      </c>
      <c r="U25">
        <f>B24*EXP(RATES!O26)*(DATA!$B$6-DATA!$B$12)</f>
        <v>678.89374528742485</v>
      </c>
      <c r="V25">
        <f t="shared" si="7"/>
        <v>848.61718160928103</v>
      </c>
      <c r="W25">
        <f t="shared" si="8"/>
        <v>1.3376087534003449</v>
      </c>
      <c r="X25">
        <f>W25*BASE!Q25</f>
        <v>0.77296899488712889</v>
      </c>
    </row>
    <row r="26" spans="1:24" x14ac:dyDescent="0.3">
      <c r="A26" s="5">
        <v>24</v>
      </c>
      <c r="B26">
        <f>B25*EXP(RATES!O27)*(1-DATA!$B$6)</f>
        <v>83283.464922455751</v>
      </c>
      <c r="C26">
        <f>C25*EXP(RATES!O27)*(1-DATA!$B$6)</f>
        <v>20820.866230613938</v>
      </c>
      <c r="D26">
        <f t="shared" si="1"/>
        <v>104104.33115306968</v>
      </c>
      <c r="E26">
        <f>E25*(1-'LIFE TABLE MALE'!D86/1000)</f>
        <v>0.51420915397167088</v>
      </c>
      <c r="F26">
        <f t="shared" si="2"/>
        <v>2.2041485471132492E-3</v>
      </c>
      <c r="G26">
        <f t="shared" si="0"/>
        <v>104084.33115306968</v>
      </c>
      <c r="H26">
        <f>MAX(D26,DATA!$B$3)</f>
        <v>104104.33115306968</v>
      </c>
      <c r="I26">
        <f>G26*DATA!$B$7*1.5*F25*E26</f>
        <v>34.248916385232086</v>
      </c>
      <c r="J26">
        <f>H26*'LIFE TABLE MALE'!D86/1000*F25*E25</f>
        <v>11.844843051371301</v>
      </c>
      <c r="K26">
        <f>0</f>
        <v>0</v>
      </c>
      <c r="L26" s="43">
        <f>DATA!$B$8*((1+DATA!$B$9)^A25)*F26*E26</f>
        <v>8.9362357742707052E-2</v>
      </c>
      <c r="M26">
        <f>B25*EXP(RATES!O27)*(DATA!$B$12)</f>
        <v>1192.1968393807574</v>
      </c>
      <c r="N26">
        <f>C25*EXP(RATES!O27)*(DATA!$B$12)</f>
        <v>298.04920984518935</v>
      </c>
      <c r="O26">
        <f t="shared" si="3"/>
        <v>1490.2460492259468</v>
      </c>
      <c r="P26">
        <f t="shared" si="4"/>
        <v>1.6890349764209296</v>
      </c>
      <c r="Q26">
        <f>RATES!G27</f>
        <v>0.56320138825489208</v>
      </c>
      <c r="R26" s="44">
        <f t="shared" si="5"/>
        <v>47.87215677076702</v>
      </c>
      <c r="S26">
        <f t="shared" si="6"/>
        <v>26.961665152051818</v>
      </c>
      <c r="T26">
        <f>C25*EXP(RATES!O27)*(DATA!$B$6-DATA!$B$12)</f>
        <v>170.313834197251</v>
      </c>
      <c r="U26">
        <f>B25*EXP(RATES!O27)*(DATA!$B$6-DATA!$B$12)</f>
        <v>681.25533678900399</v>
      </c>
      <c r="V26">
        <f t="shared" si="7"/>
        <v>851.56917098625502</v>
      </c>
      <c r="W26">
        <f t="shared" si="8"/>
        <v>0.96516284366910232</v>
      </c>
      <c r="X26">
        <f>W26*BASE!Q26</f>
        <v>0.54358105344647778</v>
      </c>
    </row>
    <row r="27" spans="1:24" x14ac:dyDescent="0.3">
      <c r="A27" s="6">
        <v>25</v>
      </c>
      <c r="B27">
        <f>B26*EXP(RATES!O28)*(1-DATA!$B$6)</f>
        <v>83627.029768984285</v>
      </c>
      <c r="C27">
        <f>C26*EXP(RATES!O28)*(1-DATA!$B$6)</f>
        <v>20906.757442246071</v>
      </c>
      <c r="D27">
        <f t="shared" si="1"/>
        <v>104533.78721123036</v>
      </c>
      <c r="E27">
        <f>E26*(1-'LIFE TABLE MALE'!D87/1000)</f>
        <v>0.47242590134255708</v>
      </c>
      <c r="F27">
        <f t="shared" si="2"/>
        <v>1.7082151240127683E-3</v>
      </c>
      <c r="G27">
        <f t="shared" si="0"/>
        <v>104513.78721123036</v>
      </c>
      <c r="H27">
        <f>MAX(D27,DATA!$B$3)</f>
        <v>104533.78721123036</v>
      </c>
      <c r="I27">
        <f>G27*DATA!$B$7*1.5*F26*E27</f>
        <v>24.486722746737222</v>
      </c>
      <c r="J27">
        <f>H27*'LIFE TABLE MALE'!D87/1000*F26*E26</f>
        <v>9.6271954714548791</v>
      </c>
      <c r="K27">
        <f>0</f>
        <v>0</v>
      </c>
      <c r="L27" s="43">
        <f>DATA!$B$8*((1+DATA!$B$9)^A26)*F27*E27</f>
        <v>6.4900850726917481E-2</v>
      </c>
      <c r="M27">
        <f>B26*EXP(RATES!O28)*(DATA!$B$12)</f>
        <v>1197.1149455682821</v>
      </c>
      <c r="N27">
        <f>C26*EXP(RATES!O28)*(DATA!$B$12)</f>
        <v>299.27873639207053</v>
      </c>
      <c r="O27">
        <f t="shared" si="3"/>
        <v>1496.3936819603528</v>
      </c>
      <c r="P27">
        <f t="shared" si="4"/>
        <v>1.2075972875323191</v>
      </c>
      <c r="Q27">
        <f>RATES!G28</f>
        <v>0.54854806158178537</v>
      </c>
      <c r="R27" s="44">
        <f t="shared" si="5"/>
        <v>35.386416356451335</v>
      </c>
      <c r="S27">
        <f t="shared" si="6"/>
        <v>19.411150098657362</v>
      </c>
      <c r="T27">
        <f>C26*EXP(RATES!O28)*(DATA!$B$6-DATA!$B$12)</f>
        <v>171.01642079546883</v>
      </c>
      <c r="U27">
        <f>B26*EXP(RATES!O28)*(DATA!$B$6-DATA!$B$12)</f>
        <v>684.06568318187533</v>
      </c>
      <c r="V27">
        <f t="shared" si="7"/>
        <v>855.0821039773441</v>
      </c>
      <c r="W27">
        <f t="shared" si="8"/>
        <v>0.69005559287561058</v>
      </c>
      <c r="X27">
        <f>W27*BASE!Q27</f>
        <v>0.37852865785558587</v>
      </c>
    </row>
    <row r="28" spans="1:24" x14ac:dyDescent="0.3">
      <c r="A28" s="5">
        <v>26</v>
      </c>
      <c r="B28">
        <f>B27*EXP(RATES!O29)*(1-DATA!$B$6)</f>
        <v>84031.033003797333</v>
      </c>
      <c r="C28">
        <f>C27*EXP(RATES!O29)*(1-DATA!$B$6)</f>
        <v>21007.758250949333</v>
      </c>
      <c r="D28">
        <f t="shared" si="1"/>
        <v>105038.79125474667</v>
      </c>
      <c r="E28">
        <f>E27*(1-'LIFE TABLE MALE'!D88/1000)</f>
        <v>0.42866056426106119</v>
      </c>
      <c r="F28">
        <f t="shared" si="2"/>
        <v>1.3238667211098955E-3</v>
      </c>
      <c r="G28">
        <f t="shared" si="0"/>
        <v>105018.79125474667</v>
      </c>
      <c r="H28">
        <f>MAX(D28,DATA!$B$3)</f>
        <v>105038.79125474667</v>
      </c>
      <c r="I28">
        <f>G28*DATA!$B$7*1.5*F27*E28</f>
        <v>17.302371295661299</v>
      </c>
      <c r="J28">
        <f>H28*'LIFE TABLE MALE'!D88/1000*F27*E27</f>
        <v>7.8527641824585297</v>
      </c>
      <c r="K28">
        <f>0</f>
        <v>0</v>
      </c>
      <c r="L28" s="43">
        <f>DATA!$B$8*((1+DATA!$B$9)^A27)*F28*E28</f>
        <v>4.6551330138994165E-2</v>
      </c>
      <c r="M28">
        <f>B27*EXP(RATES!O29)*(DATA!$B$12)</f>
        <v>1202.8982229582439</v>
      </c>
      <c r="N28">
        <f>C27*EXP(RATES!O29)*(DATA!$B$12)</f>
        <v>300.72455573956097</v>
      </c>
      <c r="O28">
        <f t="shared" si="3"/>
        <v>1503.6227786978047</v>
      </c>
      <c r="P28">
        <f t="shared" si="4"/>
        <v>0.85329007222736997</v>
      </c>
      <c r="Q28">
        <f>RATES!G29</f>
        <v>0.53390072310461278</v>
      </c>
      <c r="R28" s="44">
        <f t="shared" si="5"/>
        <v>26.054976880486194</v>
      </c>
      <c r="S28">
        <f t="shared" si="6"/>
        <v>13.910770996965548</v>
      </c>
      <c r="T28">
        <f>C27*EXP(RATES!O29)*(DATA!$B$6-DATA!$B$12)</f>
        <v>171.84260327974911</v>
      </c>
      <c r="U28">
        <f>B27*EXP(RATES!O29)*(DATA!$B$6-DATA!$B$12)</f>
        <v>687.37041311899645</v>
      </c>
      <c r="V28">
        <f t="shared" si="7"/>
        <v>859.21301639874559</v>
      </c>
      <c r="W28">
        <f t="shared" si="8"/>
        <v>0.48759432698706856</v>
      </c>
      <c r="X28">
        <f>W28*BASE!Q28</f>
        <v>0.26032696376010289</v>
      </c>
    </row>
    <row r="29" spans="1:24" x14ac:dyDescent="0.3">
      <c r="A29" s="5">
        <v>27</v>
      </c>
      <c r="B29">
        <f>B28*EXP(RATES!O30)*(1-DATA!$B$6)</f>
        <v>84501.26690690004</v>
      </c>
      <c r="C29">
        <f>C28*EXP(RATES!O30)*(1-DATA!$B$6)</f>
        <v>21125.31672672501</v>
      </c>
      <c r="D29">
        <f t="shared" si="1"/>
        <v>105626.58363362505</v>
      </c>
      <c r="E29">
        <f>E28*(1-'LIFE TABLE MALE'!D89/1000)</f>
        <v>0.38279328376033767</v>
      </c>
      <c r="F29">
        <f t="shared" si="2"/>
        <v>1.0259967088601691E-3</v>
      </c>
      <c r="G29">
        <f t="shared" si="0"/>
        <v>105606.58363362505</v>
      </c>
      <c r="H29">
        <f>MAX(D29,DATA!$B$3)</f>
        <v>105626.58363362505</v>
      </c>
      <c r="I29">
        <f>G29*DATA!$B$7*1.5*F28*E29</f>
        <v>12.041541480255718</v>
      </c>
      <c r="J29">
        <f>H29*'LIFE TABLE MALE'!D89/1000*F28*E28</f>
        <v>6.4138749710516194</v>
      </c>
      <c r="K29">
        <f>0</f>
        <v>0</v>
      </c>
      <c r="L29" s="43">
        <f>DATA!$B$8*((1+DATA!$B$9)^A28)*F29*E29</f>
        <v>3.2861300523706213E-2</v>
      </c>
      <c r="M29">
        <f>B28*EXP(RATES!O30)*(DATA!$B$12)</f>
        <v>1209.629587624336</v>
      </c>
      <c r="N29">
        <f>C28*EXP(RATES!O30)*(DATA!$B$12)</f>
        <v>302.40739690608399</v>
      </c>
      <c r="O29">
        <f t="shared" si="3"/>
        <v>1512.0369845304199</v>
      </c>
      <c r="P29">
        <f t="shared" si="4"/>
        <v>0.59384443523599728</v>
      </c>
      <c r="Q29">
        <f>RATES!G30</f>
        <v>0.51924921182601969</v>
      </c>
      <c r="R29" s="44">
        <f t="shared" si="5"/>
        <v>19.082122187067043</v>
      </c>
      <c r="S29">
        <f t="shared" si="6"/>
        <v>9.9083769056023652</v>
      </c>
      <c r="T29">
        <f>C28*EXP(RATES!O30)*(DATA!$B$6-DATA!$B$12)</f>
        <v>172.80422680347655</v>
      </c>
      <c r="U29">
        <f>B28*EXP(RATES!O30)*(DATA!$B$6-DATA!$B$12)</f>
        <v>691.21690721390621</v>
      </c>
      <c r="V29">
        <f t="shared" si="7"/>
        <v>864.02113401738279</v>
      </c>
      <c r="W29">
        <f t="shared" si="8"/>
        <v>0.33933967727771269</v>
      </c>
      <c r="X29">
        <f>W29*BASE!Q29</f>
        <v>0.1762018599677482</v>
      </c>
    </row>
    <row r="30" spans="1:24" x14ac:dyDescent="0.3">
      <c r="A30" s="5">
        <v>28</v>
      </c>
      <c r="B30">
        <f>B29*EXP(RATES!O31)*(1-DATA!$B$6)</f>
        <v>85020.543140026202</v>
      </c>
      <c r="C30">
        <f>C29*EXP(RATES!O31)*(1-DATA!$B$6)</f>
        <v>21255.135785006551</v>
      </c>
      <c r="D30">
        <f t="shared" si="1"/>
        <v>106275.67892503276</v>
      </c>
      <c r="E30">
        <f>E29*(1-'LIFE TABLE MALE'!D90/1000)</f>
        <v>0.33599119307109643</v>
      </c>
      <c r="F30">
        <f t="shared" si="2"/>
        <v>7.951474493666311E-4</v>
      </c>
      <c r="G30">
        <f t="shared" si="0"/>
        <v>106255.67892503276</v>
      </c>
      <c r="H30">
        <f>MAX(D30,DATA!$B$3)</f>
        <v>106275.67892503276</v>
      </c>
      <c r="I30">
        <f>G30*DATA!$B$7*1.5*F29*E30</f>
        <v>8.2415430261802545</v>
      </c>
      <c r="J30">
        <f>H30*'LIFE TABLE MALE'!D90/1000*F29*E29</f>
        <v>5.1032296162716539</v>
      </c>
      <c r="K30">
        <f>0</f>
        <v>0</v>
      </c>
      <c r="L30" s="43">
        <f>DATA!$B$8*((1+DATA!$B$9)^A29)*F30*E30</f>
        <v>2.2800806344927791E-2</v>
      </c>
      <c r="M30">
        <f>B29*EXP(RATES!O31)*(DATA!$B$12)</f>
        <v>1217.0629897345264</v>
      </c>
      <c r="N30">
        <f>C29*EXP(RATES!O31)*(DATA!$B$12)</f>
        <v>304.26574743363159</v>
      </c>
      <c r="O30">
        <f t="shared" si="3"/>
        <v>1521.3287371681579</v>
      </c>
      <c r="P30">
        <f t="shared" si="4"/>
        <v>0.40644204987087995</v>
      </c>
      <c r="Q30">
        <f>RATES!G31</f>
        <v>0.50472410428806358</v>
      </c>
      <c r="R30" s="44">
        <f t="shared" si="5"/>
        <v>13.774015498667715</v>
      </c>
      <c r="S30">
        <f t="shared" si="6"/>
        <v>6.9520776350149678</v>
      </c>
      <c r="T30">
        <f>C29*EXP(RATES!O31)*(DATA!$B$6-DATA!$B$12)</f>
        <v>173.86614139064659</v>
      </c>
      <c r="U30">
        <f>B29*EXP(RATES!O31)*(DATA!$B$6-DATA!$B$12)</f>
        <v>695.46456556258636</v>
      </c>
      <c r="V30">
        <f t="shared" si="7"/>
        <v>869.33070695323295</v>
      </c>
      <c r="W30">
        <f t="shared" si="8"/>
        <v>0.23225259992621705</v>
      </c>
      <c r="X30">
        <f>W30*BASE!Q30</f>
        <v>0.11722348546633388</v>
      </c>
    </row>
    <row r="31" spans="1:24" x14ac:dyDescent="0.3">
      <c r="A31" s="5">
        <v>29</v>
      </c>
      <c r="B31">
        <f>B30*EXP(RATES!O32)*(1-DATA!$B$6)</f>
        <v>85568.006571671765</v>
      </c>
      <c r="C31">
        <f>C30*EXP(RATES!O32)*(1-DATA!$B$6)</f>
        <v>21392.001642917941</v>
      </c>
      <c r="D31">
        <f t="shared" si="1"/>
        <v>106960.0082145897</v>
      </c>
      <c r="E31">
        <f>E30*(1-'LIFE TABLE MALE'!D91/1000)</f>
        <v>0.28899294993893926</v>
      </c>
      <c r="F31">
        <f t="shared" si="2"/>
        <v>6.1623927325913915E-4</v>
      </c>
      <c r="G31">
        <f t="shared" si="0"/>
        <v>106940.0082145897</v>
      </c>
      <c r="H31">
        <f>MAX(D31,DATA!$B$3)</f>
        <v>106960.0082145897</v>
      </c>
      <c r="I31">
        <f>G31*DATA!$B$7*1.5*F30*E31</f>
        <v>5.529140801846129</v>
      </c>
      <c r="J31">
        <f>H31*'LIFE TABLE MALE'!D91/1000*F30*E30</f>
        <v>3.9971525328410382</v>
      </c>
      <c r="K31">
        <f>0</f>
        <v>0</v>
      </c>
      <c r="L31" s="43">
        <f>DATA!$B$8*((1+DATA!$B$9)^A30)*F31*E31</f>
        <v>1.5502846056624968E-2</v>
      </c>
      <c r="M31">
        <f>B30*EXP(RATES!O32)*(DATA!$B$12)</f>
        <v>1224.8998895740335</v>
      </c>
      <c r="N31">
        <f>C30*EXP(RATES!O32)*(DATA!$B$12)</f>
        <v>306.22497239350838</v>
      </c>
      <c r="O31">
        <f t="shared" si="3"/>
        <v>1531.1248619675418</v>
      </c>
      <c r="P31">
        <f t="shared" si="4"/>
        <v>0.27267619765859441</v>
      </c>
      <c r="Q31">
        <f>RATES!G32</f>
        <v>0.49046199601095725</v>
      </c>
      <c r="R31" s="45">
        <f t="shared" si="5"/>
        <v>9.8144723784023853</v>
      </c>
      <c r="S31">
        <f t="shared" si="6"/>
        <v>4.8136257125056412</v>
      </c>
      <c r="T31">
        <f>C30*EXP(RATES!O32)*(DATA!$B$6-DATA!$B$12)</f>
        <v>174.98569851057619</v>
      </c>
      <c r="U31">
        <f>B30*EXP(RATES!O32)*(DATA!$B$6-DATA!$B$12)</f>
        <v>699.94279404230474</v>
      </c>
      <c r="V31">
        <f t="shared" si="7"/>
        <v>874.92849255288093</v>
      </c>
      <c r="W31">
        <f t="shared" si="8"/>
        <v>0.15581497009062534</v>
      </c>
      <c r="X31">
        <f>W31*BASE!Q31</f>
        <v>7.6421321239035708E-2</v>
      </c>
    </row>
    <row r="32" spans="1:24" x14ac:dyDescent="0.3">
      <c r="A32" s="6">
        <v>30</v>
      </c>
      <c r="B32">
        <f>B31*EXP(RATES!O33)*(1-DATA!$B$6)</f>
        <v>86144.154157072146</v>
      </c>
      <c r="C32">
        <f>C31*EXP(RATES!O33)*(1-DATA!$B$6)</f>
        <v>21536.038539268036</v>
      </c>
      <c r="D32">
        <f t="shared" si="1"/>
        <v>107680.19269634018</v>
      </c>
      <c r="E32">
        <f>E31*(1-'LIFE TABLE MALE'!D92/1000)</f>
        <v>0.24274450939213651</v>
      </c>
      <c r="F32">
        <f t="shared" si="2"/>
        <v>4.7758543677583283E-4</v>
      </c>
      <c r="G32">
        <f t="shared" si="0"/>
        <v>107660.19269634018</v>
      </c>
      <c r="H32">
        <f>MAX(D32,DATA!$B$3)</f>
        <v>107680.19269634018</v>
      </c>
      <c r="I32">
        <f>G32*DATA!$B$7*1.5*F31*E32</f>
        <v>3.6235683614622323</v>
      </c>
      <c r="J32">
        <f>H32*'LIFE TABLE MALE'!D92/1000*F31*E31</f>
        <v>3.0688968404690518</v>
      </c>
      <c r="K32">
        <f>0</f>
        <v>0</v>
      </c>
      <c r="L32" s="43">
        <f>DATA!$B$8*((1+DATA!$B$9)^A31)*F32*E32</f>
        <v>1.0293794075476474E-2</v>
      </c>
      <c r="M32">
        <f>B31*EXP(RATES!O33)*(DATA!$B$12)</f>
        <v>1233.1474010214827</v>
      </c>
      <c r="N32">
        <f>C31*EXP(RATES!O33)*(DATA!$B$12)</f>
        <v>308.28685025537067</v>
      </c>
      <c r="O32">
        <f t="shared" si="3"/>
        <v>1541.4342512768533</v>
      </c>
      <c r="P32">
        <f t="shared" si="4"/>
        <v>0.17870038804883179</v>
      </c>
      <c r="Q32">
        <f>RATES!G33</f>
        <v>0.47646370067584165</v>
      </c>
      <c r="R32" s="45">
        <f t="shared" si="5"/>
        <v>6.8814593840555922</v>
      </c>
      <c r="S32">
        <f t="shared" si="6"/>
        <v>3.2787656041776252</v>
      </c>
      <c r="T32">
        <f>C31*EXP(RATES!O33)*(DATA!$B$6-DATA!$B$12)</f>
        <v>176.16391443164034</v>
      </c>
      <c r="U32">
        <f>B31*EXP(RATES!O33)*(DATA!$B$6-DATA!$B$12)</f>
        <v>704.65565772656134</v>
      </c>
      <c r="V32">
        <f t="shared" si="7"/>
        <v>880.81957215820171</v>
      </c>
      <c r="W32">
        <f t="shared" si="8"/>
        <v>0.10211450745647527</v>
      </c>
      <c r="X32">
        <f>W32*BASE!Q32</f>
        <v>4.865385611540303E-2</v>
      </c>
    </row>
    <row r="33" spans="1:24" x14ac:dyDescent="0.3">
      <c r="A33" s="5">
        <v>31</v>
      </c>
      <c r="B33">
        <f>B32*EXP(RATES!O34)*(1-DATA!$B$6)</f>
        <v>86775.747166721878</v>
      </c>
      <c r="C33">
        <f>C32*EXP(RATES!O34)*(1-DATA!$B$6)</f>
        <v>21693.936791680469</v>
      </c>
      <c r="D33">
        <f t="shared" si="1"/>
        <v>108469.68395840234</v>
      </c>
      <c r="E33">
        <f>E32*(1-'LIFE TABLE MALE'!D93/1000)</f>
        <v>0.1988663322971663</v>
      </c>
      <c r="F33">
        <f t="shared" si="2"/>
        <v>3.7012871350127044E-4</v>
      </c>
      <c r="G33">
        <f t="shared" si="0"/>
        <v>108449.68395840234</v>
      </c>
      <c r="H33">
        <f>MAX(D33,DATA!$B$3)</f>
        <v>108469.68395840234</v>
      </c>
      <c r="I33">
        <f>G33*DATA!$B$7*1.5*F32*E33</f>
        <v>2.31751817167323</v>
      </c>
      <c r="J33">
        <f>H33*'LIFE TABLE MALE'!D93/1000*F32*E32</f>
        <v>2.2730449632662588</v>
      </c>
      <c r="K33">
        <f>0</f>
        <v>0</v>
      </c>
      <c r="L33" s="43">
        <f>DATA!$B$8*((1+DATA!$B$9)^A32)*F33*E33</f>
        <v>6.6663666932223076E-3</v>
      </c>
      <c r="M33">
        <f>B32*EXP(RATES!O34)*(DATA!$B$12)</f>
        <v>1242.1886097485749</v>
      </c>
      <c r="N33">
        <f>C32*EXP(RATES!O34)*(DATA!$B$12)</f>
        <v>310.54715243714372</v>
      </c>
      <c r="O33">
        <f t="shared" si="3"/>
        <v>1552.7357621857186</v>
      </c>
      <c r="P33">
        <f t="shared" si="4"/>
        <v>0.11429088547810795</v>
      </c>
      <c r="Q33">
        <f>RATES!G34</f>
        <v>0.46258987582736705</v>
      </c>
      <c r="R33" s="45">
        <f t="shared" si="5"/>
        <v>4.7115203871108191</v>
      </c>
      <c r="S33">
        <f t="shared" si="6"/>
        <v>2.1795016308317021</v>
      </c>
      <c r="T33">
        <f>C32*EXP(RATES!O34)*(DATA!$B$6-DATA!$B$12)</f>
        <v>177.45551567836782</v>
      </c>
      <c r="U33">
        <f>B32*EXP(RATES!O34)*(DATA!$B$6-DATA!$B$12)</f>
        <v>709.82206271347127</v>
      </c>
      <c r="V33">
        <f t="shared" si="7"/>
        <v>887.27757839183914</v>
      </c>
      <c r="W33">
        <f t="shared" si="8"/>
        <v>6.5309077416061678E-2</v>
      </c>
      <c r="X33">
        <f>W33*BASE!Q33</f>
        <v>3.0211318012295874E-2</v>
      </c>
    </row>
    <row r="34" spans="1:24" x14ac:dyDescent="0.3">
      <c r="A34" s="5">
        <v>32</v>
      </c>
      <c r="B34">
        <f>B33*EXP(RATES!O35)*(1-DATA!$B$6)</f>
        <v>87439.193933082599</v>
      </c>
      <c r="C34">
        <f>C33*EXP(RATES!O35)*(1-DATA!$B$6)</f>
        <v>21859.79848327065</v>
      </c>
      <c r="D34">
        <f t="shared" si="1"/>
        <v>109298.99241635326</v>
      </c>
      <c r="E34">
        <f>E33*(1-'LIFE TABLE MALE'!D94/1000)</f>
        <v>0.1590545553724837</v>
      </c>
      <c r="F34">
        <f t="shared" si="2"/>
        <v>2.8684975296348458E-4</v>
      </c>
      <c r="G34">
        <f t="shared" si="0"/>
        <v>109278.99241635326</v>
      </c>
      <c r="H34">
        <f>MAX(D34,DATA!$B$3)</f>
        <v>109298.99241635326</v>
      </c>
      <c r="I34">
        <f>G34*DATA!$B$7*1.5*F33*E34</f>
        <v>1.4474983914850057</v>
      </c>
      <c r="J34">
        <f>H34*'LIFE TABLE MALE'!D94/1000*F33*E33</f>
        <v>1.6105733108133606</v>
      </c>
      <c r="K34">
        <f>0</f>
        <v>0</v>
      </c>
      <c r="L34" s="43">
        <f>DATA!$B$8*((1+DATA!$B$9)^A33)*F34*E34</f>
        <v>4.2147898072138184E-3</v>
      </c>
      <c r="M34">
        <f>B33*EXP(RATES!O35)*(DATA!$B$12)</f>
        <v>1251.6858027230637</v>
      </c>
      <c r="N34">
        <f>C33*EXP(RATES!O35)*(DATA!$B$12)</f>
        <v>312.92145068076593</v>
      </c>
      <c r="O34">
        <f t="shared" si="3"/>
        <v>1564.6072534038296</v>
      </c>
      <c r="P34">
        <f t="shared" si="4"/>
        <v>7.1384830299872915E-2</v>
      </c>
      <c r="Q34">
        <f>RATES!G35</f>
        <v>0.44898020595178956</v>
      </c>
      <c r="R34" s="45">
        <f t="shared" si="5"/>
        <v>3.1336713224054531</v>
      </c>
      <c r="S34">
        <f t="shared" si="6"/>
        <v>1.4069563957188171</v>
      </c>
      <c r="T34">
        <f>C33*EXP(RATES!O35)*(DATA!$B$6-DATA!$B$12)</f>
        <v>178.81225753186621</v>
      </c>
      <c r="U34">
        <f>B33*EXP(RATES!O35)*(DATA!$B$6-DATA!$B$12)</f>
        <v>715.24903012746483</v>
      </c>
      <c r="V34">
        <f t="shared" si="7"/>
        <v>894.06128765933101</v>
      </c>
      <c r="W34">
        <f t="shared" si="8"/>
        <v>4.0791331599927372E-2</v>
      </c>
      <c r="X34">
        <f>W34*BASE!Q34</f>
        <v>1.8314500462783132E-2</v>
      </c>
    </row>
    <row r="35" spans="1:24" x14ac:dyDescent="0.3">
      <c r="A35" s="5">
        <v>33</v>
      </c>
      <c r="B35">
        <f>B34*EXP(RATES!O36)*(1-DATA!$B$6)</f>
        <v>88135.146395904914</v>
      </c>
      <c r="C35">
        <f>C34*EXP(RATES!O36)*(1-DATA!$B$6)</f>
        <v>22033.786598976229</v>
      </c>
      <c r="D35">
        <f t="shared" si="1"/>
        <v>110168.93299488115</v>
      </c>
      <c r="E35">
        <f>E34*(1-'LIFE TABLE MALE'!D95/1000)</f>
        <v>0.12331571729742245</v>
      </c>
      <c r="F35">
        <f t="shared" si="2"/>
        <v>2.2230855854670056E-4</v>
      </c>
      <c r="G35">
        <f t="shared" si="0"/>
        <v>110148.93299488115</v>
      </c>
      <c r="H35">
        <f>MAX(D35,DATA!$B$3)</f>
        <v>110168.93299488115</v>
      </c>
      <c r="I35">
        <f>G35*DATA!$B$7*1.5*F34*E35</f>
        <v>0.87666915464025164</v>
      </c>
      <c r="J35">
        <f>H35*'LIFE TABLE MALE'!D95/1000*F34*E34</f>
        <v>1.1294163025103781</v>
      </c>
      <c r="K35">
        <f>0</f>
        <v>0</v>
      </c>
      <c r="L35" s="43">
        <f>DATA!$B$8*((1+DATA!$B$9)^A34)*F35*E35</f>
        <v>2.5831529209345192E-3</v>
      </c>
      <c r="M35">
        <f>B34*EXP(RATES!O36)*(DATA!$B$12)</f>
        <v>1261.6483124158169</v>
      </c>
      <c r="N35">
        <f>C34*EXP(RATES!O36)*(DATA!$B$12)</f>
        <v>315.41207810395423</v>
      </c>
      <c r="O35">
        <f t="shared" si="3"/>
        <v>1577.0603905197711</v>
      </c>
      <c r="P35">
        <f t="shared" si="4"/>
        <v>4.323375332254633E-2</v>
      </c>
      <c r="Q35">
        <f>RATES!G36</f>
        <v>0.43563530089638008</v>
      </c>
      <c r="R35" s="45">
        <f t="shared" si="5"/>
        <v>2.0519023633941105</v>
      </c>
      <c r="S35">
        <f t="shared" si="6"/>
        <v>0.89388110348718675</v>
      </c>
      <c r="T35">
        <f>C34*EXP(RATES!O36)*(DATA!$B$6-DATA!$B$12)</f>
        <v>180.2354732022595</v>
      </c>
      <c r="U35">
        <f>B34*EXP(RATES!O36)*(DATA!$B$6-DATA!$B$12)</f>
        <v>720.94189280903799</v>
      </c>
      <c r="V35">
        <f t="shared" si="7"/>
        <v>901.17736601129752</v>
      </c>
      <c r="W35">
        <f t="shared" si="8"/>
        <v>2.4705001898597895E-2</v>
      </c>
      <c r="X35">
        <f>W35*BASE!Q35</f>
        <v>1.0762370935741335E-2</v>
      </c>
    </row>
    <row r="36" spans="1:24" x14ac:dyDescent="0.3">
      <c r="A36" s="5">
        <v>34</v>
      </c>
      <c r="B36">
        <f>B35*EXP(RATES!O37)*(1-DATA!$B$6)</f>
        <v>88864.291917679613</v>
      </c>
      <c r="C36">
        <f>C35*EXP(RATES!O37)*(1-DATA!$B$6)</f>
        <v>22216.072979419903</v>
      </c>
      <c r="D36">
        <f t="shared" si="1"/>
        <v>111080.36489709951</v>
      </c>
      <c r="E36">
        <f>E35*(1-'LIFE TABLE MALE'!D96/1000)</f>
        <v>9.2980118665901043E-2</v>
      </c>
      <c r="F36">
        <f t="shared" si="2"/>
        <v>1.7228913287369295E-4</v>
      </c>
      <c r="G36">
        <f t="shared" si="0"/>
        <v>111060.36489709951</v>
      </c>
      <c r="H36">
        <f>MAX(D36,DATA!$B$3)</f>
        <v>111080.36489709951</v>
      </c>
      <c r="I36">
        <f>G36*DATA!$B$7*1.5*F35*E36</f>
        <v>0.51652089274502666</v>
      </c>
      <c r="J36">
        <f>H36*'LIFE TABLE MALE'!D96/1000*F35*E35</f>
        <v>0.74911078556362809</v>
      </c>
      <c r="K36">
        <f>0</f>
        <v>0</v>
      </c>
      <c r="L36" s="43">
        <f>DATA!$B$8*((1+DATA!$B$9)^A35)*F36*E36</f>
        <v>1.5396558406253595E-3</v>
      </c>
      <c r="M36">
        <f>B35*EXP(RATES!O37)*(DATA!$B$12)</f>
        <v>1272.0859783716919</v>
      </c>
      <c r="N36">
        <f>C35*EXP(RATES!O37)*(DATA!$B$12)</f>
        <v>318.02149459292298</v>
      </c>
      <c r="O36">
        <f t="shared" si="3"/>
        <v>1590.1074729646148</v>
      </c>
      <c r="P36">
        <f t="shared" si="4"/>
        <v>2.5472669450201157E-2</v>
      </c>
      <c r="Q36">
        <f>RATES!G37</f>
        <v>0.42255550600771669</v>
      </c>
      <c r="R36" s="45">
        <f t="shared" si="5"/>
        <v>1.2926440035994813</v>
      </c>
      <c r="S36">
        <f t="shared" si="6"/>
        <v>0.54621384102881954</v>
      </c>
      <c r="T36">
        <f>C35*EXP(RATES!O37)*(DATA!$B$6-DATA!$B$12)</f>
        <v>181.72656833881308</v>
      </c>
      <c r="U36">
        <f>B35*EXP(RATES!O37)*(DATA!$B$6-DATA!$B$12)</f>
        <v>726.90627335525232</v>
      </c>
      <c r="V36">
        <f t="shared" si="7"/>
        <v>908.63284169406541</v>
      </c>
      <c r="W36">
        <f t="shared" si="8"/>
        <v>1.4555811114400659E-2</v>
      </c>
      <c r="X36">
        <f>W36*BASE!Q36</f>
        <v>6.1506381307983174E-3</v>
      </c>
    </row>
    <row r="37" spans="1:24" x14ac:dyDescent="0.3">
      <c r="A37" s="6">
        <v>35</v>
      </c>
      <c r="B37">
        <f>B36*EXP(RATES!O38)*(1-DATA!$B$6)</f>
        <v>89596.779479446108</v>
      </c>
      <c r="C37">
        <f>C36*EXP(RATES!O38)*(1-DATA!$B$6)</f>
        <v>22399.194869861527</v>
      </c>
      <c r="D37">
        <f t="shared" si="1"/>
        <v>111995.97434930764</v>
      </c>
      <c r="E37">
        <f>E36*(1-'LIFE TABLE MALE'!D97/1000)</f>
        <v>6.7353135477056972E-2</v>
      </c>
      <c r="F37">
        <f t="shared" si="2"/>
        <v>1.3352407797711204E-4</v>
      </c>
      <c r="G37">
        <f t="shared" si="0"/>
        <v>111975.97434930764</v>
      </c>
      <c r="H37">
        <f>MAX(D37,DATA!$B$3)</f>
        <v>111995.97434930764</v>
      </c>
      <c r="I37">
        <f>G37*DATA!$B$7*1.5*F36*E37</f>
        <v>0.29236344562871086</v>
      </c>
      <c r="J37">
        <f>H37*'LIFE TABLE MALE'!D97/1000*F36*E36</f>
        <v>0.49449030546167627</v>
      </c>
      <c r="K37">
        <f>0</f>
        <v>0</v>
      </c>
      <c r="L37" s="43">
        <f>DATA!$B$8*((1+DATA!$B$9)^A36)*F37*E37</f>
        <v>8.8164398748398942E-4</v>
      </c>
      <c r="M37">
        <f>B36*EXP(RATES!O38)*(DATA!$B$12)</f>
        <v>1282.5714853908441</v>
      </c>
      <c r="N37">
        <f>C36*EXP(RATES!O38)*(DATA!$B$12)</f>
        <v>320.64287134771104</v>
      </c>
      <c r="O37">
        <f t="shared" si="3"/>
        <v>1603.2143567385551</v>
      </c>
      <c r="P37">
        <f t="shared" si="4"/>
        <v>1.4418132064468349E-2</v>
      </c>
      <c r="Q37">
        <f>RATES!G38</f>
        <v>0.40988073390848567</v>
      </c>
      <c r="R37" s="45">
        <f t="shared" si="5"/>
        <v>0.80215352714233945</v>
      </c>
      <c r="S37">
        <f t="shared" si="6"/>
        <v>0.32878727641238248</v>
      </c>
      <c r="T37">
        <f>C36*EXP(RATES!O38)*(DATA!$B$6-DATA!$B$12)</f>
        <v>183.22449791297771</v>
      </c>
      <c r="U37">
        <f>B36*EXP(RATES!O38)*(DATA!$B$6-DATA!$B$12)</f>
        <v>732.89799165191084</v>
      </c>
      <c r="V37">
        <f t="shared" si="7"/>
        <v>916.12248956488861</v>
      </c>
      <c r="W37">
        <f t="shared" si="8"/>
        <v>8.2389326082676264E-3</v>
      </c>
      <c r="X37">
        <f>W37*BASE!Q37</f>
        <v>3.3769797440992887E-3</v>
      </c>
    </row>
    <row r="38" spans="1:24" x14ac:dyDescent="0.3">
      <c r="A38" s="5">
        <v>36</v>
      </c>
      <c r="B38">
        <f>B37*EXP(RATES!O39)*(1-DATA!$B$6)</f>
        <v>90361.659728555722</v>
      </c>
      <c r="C38">
        <f>C37*EXP(RATES!O39)*(1-DATA!$B$6)</f>
        <v>22590.41493213893</v>
      </c>
      <c r="D38">
        <f t="shared" si="1"/>
        <v>112952.07466069465</v>
      </c>
      <c r="E38">
        <f>E37*(1-'LIFE TABLE MALE'!D98/1000)</f>
        <v>4.6772681765307828E-2</v>
      </c>
      <c r="F38">
        <f t="shared" si="2"/>
        <v>1.0348116043226183E-4</v>
      </c>
      <c r="G38">
        <f t="shared" si="0"/>
        <v>112932.07466069465</v>
      </c>
      <c r="H38">
        <f>MAX(D38,DATA!$B$3)</f>
        <v>112952.07466069465</v>
      </c>
      <c r="I38">
        <f>G38*DATA!$B$7*1.5*F37*E38</f>
        <v>0.15869077598424103</v>
      </c>
      <c r="J38">
        <f>H38*'LIFE TABLE MALE'!D98/1000*F37*E37</f>
        <v>0.31039073183540228</v>
      </c>
      <c r="K38">
        <f>0</f>
        <v>0</v>
      </c>
      <c r="L38" s="43">
        <f>DATA!$B$8*((1+DATA!$B$9)^A37)*F38*E38</f>
        <v>4.8398240979994386E-4</v>
      </c>
      <c r="M38">
        <f>B37*EXP(RATES!O39)*(DATA!$B$12)</f>
        <v>1293.520691410818</v>
      </c>
      <c r="N38">
        <f>C37*EXP(RATES!O39)*(DATA!$B$12)</f>
        <v>323.3801728527045</v>
      </c>
      <c r="O38">
        <f t="shared" si="3"/>
        <v>1616.9008642635226</v>
      </c>
      <c r="P38">
        <f t="shared" si="4"/>
        <v>7.8259479444958355E-3</v>
      </c>
      <c r="Q38">
        <f>RATES!G39</f>
        <v>0.39747018785099719</v>
      </c>
      <c r="R38" s="46">
        <f t="shared" si="5"/>
        <v>0.47739143817393909</v>
      </c>
      <c r="S38">
        <f t="shared" si="6"/>
        <v>0.18974886460945328</v>
      </c>
      <c r="T38">
        <f>C37*EXP(RATES!O39)*(DATA!$B$6-DATA!$B$12)</f>
        <v>184.78867020154539</v>
      </c>
      <c r="U38">
        <f>B37*EXP(RATES!O39)*(DATA!$B$6-DATA!$B$12)</f>
        <v>739.15468080618155</v>
      </c>
      <c r="V38">
        <f t="shared" si="7"/>
        <v>923.94335100772696</v>
      </c>
      <c r="W38">
        <f t="shared" si="8"/>
        <v>4.4719702539976185E-3</v>
      </c>
      <c r="X38">
        <f>W38*BASE!Q38</f>
        <v>1.7774748569205051E-3</v>
      </c>
    </row>
    <row r="39" spans="1:24" x14ac:dyDescent="0.3">
      <c r="A39" s="5">
        <v>37</v>
      </c>
      <c r="B39">
        <f>B38*EXP(RATES!O40)*(1-DATA!$B$6)</f>
        <v>91159.651578764926</v>
      </c>
      <c r="C39">
        <f>C38*EXP(RATES!O40)*(1-DATA!$B$6)</f>
        <v>22789.912894691231</v>
      </c>
      <c r="D39">
        <f t="shared" si="1"/>
        <v>113949.56447345615</v>
      </c>
      <c r="E39">
        <f>E38*(1-'LIFE TABLE MALE'!D99/1000)</f>
        <v>3.1217167791388403E-2</v>
      </c>
      <c r="F39">
        <f t="shared" si="2"/>
        <v>8.0197899335002917E-5</v>
      </c>
      <c r="G39">
        <f t="shared" si="0"/>
        <v>113929.56447345615</v>
      </c>
      <c r="H39">
        <f>MAX(D39,DATA!$B$3)</f>
        <v>113949.56447345615</v>
      </c>
      <c r="I39">
        <f>G39*DATA!$B$7*1.5*F38*E39</f>
        <v>8.2808276218238649E-2</v>
      </c>
      <c r="J39">
        <f>H39*'LIFE TABLE MALE'!D99/1000*F38*E38</f>
        <v>0.18342491443404163</v>
      </c>
      <c r="K39">
        <f>0</f>
        <v>0</v>
      </c>
      <c r="L39" s="43">
        <f>DATA!$B$8*((1+DATA!$B$9)^A38)*F39*E39</f>
        <v>2.5534812852664378E-4</v>
      </c>
      <c r="M39">
        <f>B38*EXP(RATES!O40)*(DATA!$B$12)</f>
        <v>1304.9438876305819</v>
      </c>
      <c r="N39">
        <f>C38*EXP(RATES!O40)*(DATA!$B$12)</f>
        <v>326.23597190764548</v>
      </c>
      <c r="O39">
        <f t="shared" si="3"/>
        <v>1631.1798595382274</v>
      </c>
      <c r="P39">
        <f t="shared" si="4"/>
        <v>4.083742425351207E-3</v>
      </c>
      <c r="Q39">
        <f>RATES!G40</f>
        <v>0.38532302185706108</v>
      </c>
      <c r="R39" s="46">
        <f t="shared" si="5"/>
        <v>0.27057228120615812</v>
      </c>
      <c r="S39">
        <f t="shared" si="6"/>
        <v>0.10425772902511533</v>
      </c>
      <c r="T39">
        <f>C38*EXP(RATES!O40)*(DATA!$B$6-DATA!$B$12)</f>
        <v>186.42055537579736</v>
      </c>
      <c r="U39">
        <f>B38*EXP(RATES!O40)*(DATA!$B$6-DATA!$B$12)</f>
        <v>745.68222150318945</v>
      </c>
      <c r="V39">
        <f t="shared" si="7"/>
        <v>932.10277687898679</v>
      </c>
      <c r="W39">
        <f t="shared" si="8"/>
        <v>2.3335671002006893E-3</v>
      </c>
      <c r="X39">
        <f>W39*BASE!Q39</f>
        <v>8.9917712675554879E-4</v>
      </c>
    </row>
    <row r="40" spans="1:24" x14ac:dyDescent="0.3">
      <c r="A40" s="5">
        <v>38</v>
      </c>
      <c r="B40">
        <f>B39*EXP(RATES!O41)*(1-DATA!$B$6)</f>
        <v>91991.509139589645</v>
      </c>
      <c r="C40">
        <f>C39*EXP(RATES!O41)*(1-DATA!$B$6)</f>
        <v>22997.877284897411</v>
      </c>
      <c r="D40">
        <f t="shared" si="1"/>
        <v>114989.38642448705</v>
      </c>
      <c r="E40">
        <f>E39*(1-'LIFE TABLE MALE'!D100/1000)</f>
        <v>2.0085822836336076E-2</v>
      </c>
      <c r="F40">
        <f t="shared" si="2"/>
        <v>6.2153371984627264E-5</v>
      </c>
      <c r="G40">
        <f t="shared" si="0"/>
        <v>114969.38642448705</v>
      </c>
      <c r="H40">
        <f>MAX(D40,DATA!$B$3)</f>
        <v>114989.38642448705</v>
      </c>
      <c r="I40">
        <f>G40*DATA!$B$7*1.5*F39*E40</f>
        <v>4.1669410086191377E-2</v>
      </c>
      <c r="J40">
        <f>H40*'LIFE TABLE MALE'!D100/1000*F39*E39</f>
        <v>0.10265223059926136</v>
      </c>
      <c r="K40">
        <f>0</f>
        <v>0</v>
      </c>
      <c r="L40" s="43">
        <f>DATA!$B$8*((1+DATA!$B$9)^A39)*F40*E40</f>
        <v>1.2987653171993342E-4</v>
      </c>
      <c r="M40">
        <f>B39*EXP(RATES!O41)*(DATA!$B$12)</f>
        <v>1316.8518690738806</v>
      </c>
      <c r="N40">
        <f>C39*EXP(RATES!O41)*(DATA!$B$12)</f>
        <v>329.21296726847015</v>
      </c>
      <c r="O40">
        <f t="shared" si="3"/>
        <v>1646.0648363423506</v>
      </c>
      <c r="P40">
        <f t="shared" si="4"/>
        <v>2.054950005622056E-3</v>
      </c>
      <c r="Q40">
        <f>RATES!G41</f>
        <v>0.37343818647922755</v>
      </c>
      <c r="R40" s="46">
        <f t="shared" si="5"/>
        <v>0.14650646722279473</v>
      </c>
      <c r="S40">
        <f t="shared" si="6"/>
        <v>5.4711109427158858E-2</v>
      </c>
      <c r="T40">
        <f>C39*EXP(RATES!O41)*(DATA!$B$6-DATA!$B$12)</f>
        <v>188.12169558198289</v>
      </c>
      <c r="U40">
        <f>B39*EXP(RATES!O41)*(DATA!$B$6-DATA!$B$12)</f>
        <v>752.48678232793156</v>
      </c>
      <c r="V40">
        <f t="shared" si="7"/>
        <v>940.60847790991443</v>
      </c>
      <c r="W40">
        <f t="shared" si="8"/>
        <v>1.1742571460697461E-3</v>
      </c>
      <c r="X40">
        <f>W40*BASE!Q40</f>
        <v>4.3851245908855938E-4</v>
      </c>
    </row>
    <row r="41" spans="1:24" x14ac:dyDescent="0.3">
      <c r="A41" s="5">
        <v>39</v>
      </c>
      <c r="B41">
        <f>B40*EXP(RATES!O42)*(1-DATA!$B$6)</f>
        <v>92822.74661856427</v>
      </c>
      <c r="C41">
        <f>C40*EXP(RATES!O42)*(1-DATA!$B$6)</f>
        <v>23205.686654641067</v>
      </c>
      <c r="D41">
        <f t="shared" si="1"/>
        <v>116028.43327320533</v>
      </c>
      <c r="E41">
        <f>E40*(1-'LIFE TABLE MALE'!D101/1000)</f>
        <v>1.2471630665793342E-2</v>
      </c>
      <c r="F41">
        <f t="shared" si="2"/>
        <v>4.8168863288086128E-5</v>
      </c>
      <c r="G41">
        <f t="shared" si="0"/>
        <v>116008.43327320533</v>
      </c>
      <c r="H41">
        <f>MAX(D41,DATA!$B$3)</f>
        <v>116028.43327320533</v>
      </c>
      <c r="I41">
        <f>G41*DATA!$B$7*1.5*F40*E41</f>
        <v>2.0232987634715382E-2</v>
      </c>
      <c r="J41">
        <f>H41*'LIFE TABLE MALE'!D101/1000*F40*E40</f>
        <v>5.4910191308898071E-2</v>
      </c>
      <c r="K41">
        <f>0</f>
        <v>0</v>
      </c>
      <c r="L41" s="43">
        <f>DATA!$B$8*((1+DATA!$B$9)^A40)*F41*E41</f>
        <v>6.3747942205586092E-5</v>
      </c>
      <c r="M41">
        <f>B40*EXP(RATES!O42)*(DATA!$B$12)</f>
        <v>1328.7509740898772</v>
      </c>
      <c r="N41">
        <f>C40*EXP(RATES!O42)*(DATA!$B$12)</f>
        <v>332.1877435224693</v>
      </c>
      <c r="O41">
        <f t="shared" si="3"/>
        <v>1660.9387176123464</v>
      </c>
      <c r="P41">
        <f t="shared" si="4"/>
        <v>9.9779942161250029E-4</v>
      </c>
      <c r="Q41">
        <f>RATES!G42</f>
        <v>0.36195193998143993</v>
      </c>
      <c r="R41" s="46">
        <f t="shared" si="5"/>
        <v>7.6204726307431539E-2</v>
      </c>
      <c r="S41">
        <f t="shared" si="6"/>
        <v>2.7582448522729518E-2</v>
      </c>
      <c r="T41">
        <f>C40*EXP(RATES!O42)*(DATA!$B$6-DATA!$B$12)</f>
        <v>189.82156772712528</v>
      </c>
      <c r="U41">
        <f>B40*EXP(RATES!O42)*(DATA!$B$6-DATA!$B$12)</f>
        <v>759.28627090850114</v>
      </c>
      <c r="V41">
        <f t="shared" si="7"/>
        <v>949.10783863562642</v>
      </c>
      <c r="W41">
        <f t="shared" si="8"/>
        <v>5.7017109806428582E-4</v>
      </c>
      <c r="X41">
        <f>W41*BASE!Q41</f>
        <v>2.0637453506571607E-4</v>
      </c>
    </row>
    <row r="42" spans="1:24" x14ac:dyDescent="0.3">
      <c r="A42" s="6">
        <v>40</v>
      </c>
      <c r="B42">
        <f>B41*EXP(RATES!O43)*(1-DATA!$B$6)</f>
        <v>93686.981367791916</v>
      </c>
      <c r="C42">
        <f>C41*EXP(RATES!O43)*(1-DATA!$B$6)</f>
        <v>23421.745341947979</v>
      </c>
      <c r="D42">
        <f t="shared" si="1"/>
        <v>117108.72670973989</v>
      </c>
      <c r="E42">
        <f>E41*(1-'LIFE TABLE MALE'!D102/1000)</f>
        <v>7.4516144932450555E-3</v>
      </c>
      <c r="F42">
        <f t="shared" si="2"/>
        <v>3.733086904826675E-5</v>
      </c>
      <c r="G42">
        <f t="shared" si="0"/>
        <v>117088.72670973989</v>
      </c>
      <c r="H42">
        <f>MAX(D42,DATA!$B$3)</f>
        <v>117108.72670973989</v>
      </c>
      <c r="I42">
        <f>G42*DATA!$B$7*1.5*F41*E42</f>
        <v>9.4561505480698447E-3</v>
      </c>
      <c r="J42">
        <f>H42*'LIFE TABLE MALE'!D102/1000*F41*E41</f>
        <v>2.831788234780281E-2</v>
      </c>
      <c r="K42">
        <f>0</f>
        <v>0</v>
      </c>
      <c r="L42" s="43">
        <f>DATA!$B$8*((1+DATA!$B$9)^A41)*F42*E42</f>
        <v>3.0108920296795676E-5</v>
      </c>
      <c r="M42">
        <f>B41*EXP(RATES!O43)*(DATA!$B$12)</f>
        <v>1341.122432667778</v>
      </c>
      <c r="N42">
        <f>C41*EXP(RATES!O43)*(DATA!$B$12)</f>
        <v>335.28060816694449</v>
      </c>
      <c r="O42">
        <f t="shared" si="3"/>
        <v>1676.4030408347226</v>
      </c>
      <c r="P42">
        <f t="shared" si="4"/>
        <v>4.6633382634393597E-4</v>
      </c>
      <c r="Q42">
        <f>RATES!G43</f>
        <v>0.35072355328981947</v>
      </c>
      <c r="R42" s="46">
        <f t="shared" si="5"/>
        <v>3.8270475642513388E-2</v>
      </c>
      <c r="S42">
        <f t="shared" si="6"/>
        <v>1.3422357203433781E-2</v>
      </c>
      <c r="T42">
        <f>C41*EXP(RATES!O43)*(DATA!$B$6-DATA!$B$12)</f>
        <v>191.58891895253967</v>
      </c>
      <c r="U42">
        <f>B41*EXP(RATES!O43)*(DATA!$B$6-DATA!$B$12)</f>
        <v>766.35567581015869</v>
      </c>
      <c r="V42">
        <f t="shared" si="7"/>
        <v>957.94459476269833</v>
      </c>
      <c r="W42">
        <f t="shared" si="8"/>
        <v>2.6647647219653472E-4</v>
      </c>
      <c r="X42">
        <f>W42*BASE!Q42</f>
        <v>9.3459575196904444E-5</v>
      </c>
    </row>
    <row r="43" spans="1:24" x14ac:dyDescent="0.3">
      <c r="A43" s="5">
        <v>41</v>
      </c>
      <c r="B43">
        <f>B42*EXP(RATES!O44)*(1-DATA!$B$6)</f>
        <v>94547.223145914031</v>
      </c>
      <c r="C43">
        <f>C42*EXP(RATES!O44)*(1-DATA!$B$6)</f>
        <v>23636.805786478508</v>
      </c>
      <c r="D43">
        <f t="shared" si="1"/>
        <v>118184.02893239254</v>
      </c>
      <c r="E43">
        <f>E42*(1-'LIFE TABLE MALE'!D103/1000)</f>
        <v>4.2161420347981409E-3</v>
      </c>
      <c r="F43">
        <f t="shared" si="2"/>
        <v>2.8931423512406732E-5</v>
      </c>
      <c r="G43">
        <f t="shared" si="0"/>
        <v>118164.02893239254</v>
      </c>
      <c r="H43">
        <f>MAX(D43,DATA!$B$3)</f>
        <v>118184.02893239254</v>
      </c>
      <c r="I43">
        <f>G43*DATA!$B$7*1.5*F42*E43</f>
        <v>4.1845729348175837E-3</v>
      </c>
      <c r="J43">
        <f>H43*'LIFE TABLE MALE'!D103/1000*F42*E42</f>
        <v>1.4274621407649296E-2</v>
      </c>
      <c r="K43">
        <f>0</f>
        <v>0</v>
      </c>
      <c r="L43" s="43">
        <f>DATA!$B$8*((1+DATA!$B$9)^A42)*F43*E43</f>
        <v>1.3466722490397014E-5</v>
      </c>
      <c r="M43">
        <f>B42*EXP(RATES!O44)*(DATA!$B$12)</f>
        <v>1353.4367321500988</v>
      </c>
      <c r="N43">
        <f>C42*EXP(RATES!O44)*(DATA!$B$12)</f>
        <v>338.3591830375247</v>
      </c>
      <c r="O43">
        <f t="shared" si="3"/>
        <v>1691.7959151876235</v>
      </c>
      <c r="P43">
        <f t="shared" si="4"/>
        <v>2.0636355836942062E-4</v>
      </c>
      <c r="Q43">
        <f>RATES!G44</f>
        <v>0.33988676611542612</v>
      </c>
      <c r="R43" s="46">
        <f t="shared" si="5"/>
        <v>1.8679024623326698E-2</v>
      </c>
      <c r="S43">
        <f t="shared" si="6"/>
        <v>6.3487532734129272E-3</v>
      </c>
      <c r="T43">
        <f>C42*EXP(RATES!O44)*(DATA!$B$6-DATA!$B$12)</f>
        <v>193.34810459287121</v>
      </c>
      <c r="U43">
        <f>B42*EXP(RATES!O44)*(DATA!$B$6-DATA!$B$12)</f>
        <v>773.39241837148484</v>
      </c>
      <c r="V43">
        <f t="shared" si="7"/>
        <v>966.74052296435605</v>
      </c>
      <c r="W43">
        <f t="shared" si="8"/>
        <v>1.1792203335395462E-4</v>
      </c>
      <c r="X43">
        <f>W43*BASE!Q43</f>
        <v>4.0080138570431052E-5</v>
      </c>
    </row>
    <row r="44" spans="1:24" x14ac:dyDescent="0.3">
      <c r="A44" s="5">
        <v>42</v>
      </c>
      <c r="B44">
        <f>B43*EXP(RATES!O45)*(1-DATA!$B$6)</f>
        <v>95439.467610481792</v>
      </c>
      <c r="C44">
        <f>C43*EXP(RATES!O45)*(1-DATA!$B$6)</f>
        <v>23859.866902620448</v>
      </c>
      <c r="D44">
        <f t="shared" si="1"/>
        <v>119299.33451310224</v>
      </c>
      <c r="E44">
        <f>E43*(1-'LIFE TABLE MALE'!D104/1000)</f>
        <v>2.2139168837298946E-3</v>
      </c>
      <c r="F44">
        <f t="shared" si="2"/>
        <v>2.2421853222115218E-5</v>
      </c>
      <c r="G44">
        <f t="shared" si="0"/>
        <v>119279.33451310224</v>
      </c>
      <c r="H44">
        <f>MAX(D44,DATA!$B$3)</f>
        <v>119299.33451310224</v>
      </c>
      <c r="I44">
        <f>G44*DATA!$B$7*1.5*F43*E44</f>
        <v>1.7190117315662311E-3</v>
      </c>
      <c r="J44">
        <f>H44*'LIFE TABLE MALE'!D104/1000*F43*E43</f>
        <v>6.9106792510523624E-3</v>
      </c>
      <c r="K44">
        <f>0</f>
        <v>0</v>
      </c>
      <c r="L44" s="43">
        <f>DATA!$B$8*((1+DATA!$B$9)^A43)*F44*E44</f>
        <v>5.5899749810894285E-6</v>
      </c>
      <c r="M44">
        <f>B43*EXP(RATES!O45)*(DATA!$B$12)</f>
        <v>1366.2091477983079</v>
      </c>
      <c r="N44">
        <f>C43*EXP(RATES!O45)*(DATA!$B$12)</f>
        <v>341.55228694957697</v>
      </c>
      <c r="O44">
        <f t="shared" si="3"/>
        <v>1707.7614347478848</v>
      </c>
      <c r="P44">
        <f t="shared" si="4"/>
        <v>8.4773481549723365E-5</v>
      </c>
      <c r="Q44">
        <f>RATES!G45</f>
        <v>0.32930162970189214</v>
      </c>
      <c r="R44" s="46">
        <f t="shared" si="5"/>
        <v>8.7200544391494057E-3</v>
      </c>
      <c r="S44">
        <f t="shared" si="6"/>
        <v>2.8715281379011184E-3</v>
      </c>
      <c r="T44">
        <f>C43*EXP(RATES!O45)*(DATA!$B$6-DATA!$B$12)</f>
        <v>195.17273539975824</v>
      </c>
      <c r="U44">
        <f>B43*EXP(RATES!O45)*(DATA!$B$6-DATA!$B$12)</f>
        <v>780.69094159903295</v>
      </c>
      <c r="V44">
        <f t="shared" si="7"/>
        <v>975.86367699879122</v>
      </c>
      <c r="W44">
        <f t="shared" si="8"/>
        <v>4.8441989456984776E-5</v>
      </c>
      <c r="X44">
        <f>W44*BASE!Q44</f>
        <v>1.5952026074186964E-5</v>
      </c>
    </row>
    <row r="45" spans="1:24" x14ac:dyDescent="0.3">
      <c r="A45" s="5">
        <v>43</v>
      </c>
      <c r="B45">
        <f>B44*EXP(RATES!O46)*(1-DATA!$B$6)</f>
        <v>96364.465078835521</v>
      </c>
      <c r="C45">
        <f>C44*EXP(RATES!O46)*(1-DATA!$B$6)</f>
        <v>24091.11626970888</v>
      </c>
      <c r="D45">
        <f t="shared" si="1"/>
        <v>120455.58134854439</v>
      </c>
      <c r="E45">
        <f>E44*(1-'LIFE TABLE MALE'!D105/1000)</f>
        <v>1.0858367228099039E-3</v>
      </c>
      <c r="F45">
        <f t="shared" si="2"/>
        <v>1.7376936247139296E-5</v>
      </c>
      <c r="G45">
        <f t="shared" si="0"/>
        <v>120435.58134854439</v>
      </c>
      <c r="H45">
        <f>MAX(D45,DATA!$B$3)</f>
        <v>120455.58134854439</v>
      </c>
      <c r="I45">
        <f>G45*DATA!$B$7*1.5*F44*E45</f>
        <v>6.5974082930652885E-4</v>
      </c>
      <c r="J45">
        <f>H45*'LIFE TABLE MALE'!D105/1000*F44*E44</f>
        <v>3.046761049081575E-3</v>
      </c>
      <c r="K45">
        <f>0</f>
        <v>0</v>
      </c>
      <c r="L45" s="43">
        <f>DATA!$B$8*((1+DATA!$B$9)^A44)*F45*E45</f>
        <v>2.1672796415361123E-6</v>
      </c>
      <c r="M45">
        <f>B44*EXP(RATES!O46)*(DATA!$B$12)</f>
        <v>1379.4504203514286</v>
      </c>
      <c r="N45">
        <f>C44*EXP(RATES!O46)*(DATA!$B$12)</f>
        <v>344.86260508785716</v>
      </c>
      <c r="O45">
        <f t="shared" si="3"/>
        <v>1724.3130254392859</v>
      </c>
      <c r="P45">
        <f t="shared" si="4"/>
        <v>3.253522705954458E-5</v>
      </c>
      <c r="Q45">
        <f>RATES!G46</f>
        <v>0.3189655855815991</v>
      </c>
      <c r="R45" s="46">
        <f t="shared" si="5"/>
        <v>3.7412043850891842E-3</v>
      </c>
      <c r="S45">
        <f t="shared" si="6"/>
        <v>1.1933154474704181E-3</v>
      </c>
      <c r="T45">
        <f>C44*EXP(RATES!O46)*(DATA!$B$6-DATA!$B$12)</f>
        <v>197.06434576448979</v>
      </c>
      <c r="U45">
        <f>B44*EXP(RATES!O46)*(DATA!$B$6-DATA!$B$12)</f>
        <v>788.25738305795915</v>
      </c>
      <c r="V45">
        <f t="shared" si="7"/>
        <v>985.3217288224489</v>
      </c>
      <c r="W45">
        <f t="shared" si="8"/>
        <v>1.8591558319739754E-5</v>
      </c>
      <c r="X45">
        <f>W45*BASE!Q45</f>
        <v>5.9300672863302415E-6</v>
      </c>
    </row>
    <row r="46" spans="1:24" x14ac:dyDescent="0.3">
      <c r="A46" s="5">
        <v>44</v>
      </c>
      <c r="B46">
        <f>B45*EXP(RATES!O47)*(1-DATA!$B$6)</f>
        <v>97281.312696218753</v>
      </c>
      <c r="C46">
        <f>C45*EXP(RATES!O47)*(1-DATA!$B$6)</f>
        <v>24320.328174054688</v>
      </c>
      <c r="D46">
        <f t="shared" si="1"/>
        <v>121601.64087027343</v>
      </c>
      <c r="E46">
        <f>E45*(1-'LIFE TABLE MALE'!D106/1000)</f>
        <v>4.9467420147581884E-4</v>
      </c>
      <c r="F46">
        <f t="shared" si="2"/>
        <v>1.3467125591532955E-5</v>
      </c>
      <c r="G46">
        <f t="shared" si="0"/>
        <v>121581.64087027343</v>
      </c>
      <c r="H46">
        <f>MAX(D46,DATA!$B$3)</f>
        <v>121601.64087027343</v>
      </c>
      <c r="I46">
        <f>G46*DATA!$B$7*1.5*F45*E46</f>
        <v>2.3514891954956157E-4</v>
      </c>
      <c r="J46">
        <f>H46*'LIFE TABLE MALE'!D106/1000*F45*E45</f>
        <v>1.24916421889555E-3</v>
      </c>
      <c r="K46">
        <f>0</f>
        <v>0</v>
      </c>
      <c r="L46" s="43">
        <f>DATA!$B$8*((1+DATA!$B$9)^A45)*F46*E46</f>
        <v>7.8049758167206399E-7</v>
      </c>
      <c r="M46">
        <f>B45*EXP(RATES!O47)*(DATA!$B$12)</f>
        <v>1392.5750283712298</v>
      </c>
      <c r="N46">
        <f>C45*EXP(RATES!O47)*(DATA!$B$12)</f>
        <v>348.14375709280745</v>
      </c>
      <c r="O46">
        <f t="shared" si="3"/>
        <v>1740.7187854640372</v>
      </c>
      <c r="P46">
        <f t="shared" si="4"/>
        <v>1.1596389334275974E-5</v>
      </c>
      <c r="Q46">
        <f>RATES!G47</f>
        <v>0.30900832177573956</v>
      </c>
      <c r="R46" s="46">
        <f t="shared" si="5"/>
        <v>1.4966900253610596E-3</v>
      </c>
      <c r="S46">
        <f t="shared" si="6"/>
        <v>4.6248967295531009E-4</v>
      </c>
      <c r="T46">
        <f>C45*EXP(RATES!O47)*(DATA!$B$6-DATA!$B$12)</f>
        <v>198.93928976731848</v>
      </c>
      <c r="U46">
        <f>B45*EXP(RATES!O47)*(DATA!$B$6-DATA!$B$12)</f>
        <v>795.75715906927394</v>
      </c>
      <c r="V46">
        <f t="shared" si="7"/>
        <v>994.69644883659248</v>
      </c>
      <c r="W46">
        <f t="shared" si="8"/>
        <v>6.6265081910148406E-6</v>
      </c>
      <c r="X46">
        <f>W46*BASE!Q46</f>
        <v>2.0476461753386878E-6</v>
      </c>
    </row>
    <row r="47" spans="1:24" x14ac:dyDescent="0.3">
      <c r="A47" s="6">
        <v>45</v>
      </c>
      <c r="B47">
        <f>B46*EXP(RATES!O48)*(1-DATA!$B$6)</f>
        <v>98229.776108477323</v>
      </c>
      <c r="C47">
        <f>C46*EXP(RATES!O48)*(1-DATA!$B$6)</f>
        <v>24557.444027119331</v>
      </c>
      <c r="D47">
        <f t="shared" si="1"/>
        <v>122787.22013559665</v>
      </c>
      <c r="E47">
        <f>E46*(1-'LIFE TABLE MALE'!D107/1000)</f>
        <v>2.0813801883623825E-4</v>
      </c>
      <c r="F47">
        <f t="shared" si="2"/>
        <v>1.043702233343804E-5</v>
      </c>
      <c r="G47">
        <f t="shared" si="0"/>
        <v>122767.22013559665</v>
      </c>
      <c r="H47">
        <f>MAX(D47,DATA!$B$3)</f>
        <v>122787.22013559665</v>
      </c>
      <c r="I47">
        <f>G47*DATA!$B$7*1.5*F46*E47</f>
        <v>7.742679221563058E-5</v>
      </c>
      <c r="J47">
        <f>H47*'LIFE TABLE MALE'!D107/1000*F46*E46</f>
        <v>4.7381362831734462E-4</v>
      </c>
      <c r="K47">
        <f>0</f>
        <v>0</v>
      </c>
      <c r="L47" s="43">
        <f>DATA!$B$8*((1+DATA!$B$9)^A46)*F47*E47</f>
        <v>2.5960053972504789E-7</v>
      </c>
      <c r="M47">
        <f>B46*EXP(RATES!O48)*(DATA!$B$12)</f>
        <v>1406.1522142317817</v>
      </c>
      <c r="N47">
        <f>C46*EXP(RATES!O48)*(DATA!$B$12)</f>
        <v>351.53805355794543</v>
      </c>
      <c r="O47">
        <f t="shared" si="3"/>
        <v>1757.6902677897272</v>
      </c>
      <c r="P47">
        <f t="shared" si="4"/>
        <v>3.818302899486966E-6</v>
      </c>
      <c r="Q47">
        <f>RATES!G48</f>
        <v>0.29929213083059769</v>
      </c>
      <c r="R47" s="46">
        <f t="shared" si="5"/>
        <v>5.5531832397218725E-4</v>
      </c>
      <c r="S47">
        <f t="shared" si="6"/>
        <v>1.6620240447091209E-4</v>
      </c>
      <c r="T47">
        <f>C46*EXP(RATES!O48)*(DATA!$B$6-DATA!$B$12)</f>
        <v>200.87888774739736</v>
      </c>
      <c r="U47">
        <f>B46*EXP(RATES!O48)*(DATA!$B$6-DATA!$B$12)</f>
        <v>803.51555098958943</v>
      </c>
      <c r="V47">
        <f t="shared" si="7"/>
        <v>1004.3944387369868</v>
      </c>
      <c r="W47">
        <f t="shared" si="8"/>
        <v>2.1818873711354091E-6</v>
      </c>
      <c r="X47">
        <f>W47*BASE!Q47</f>
        <v>6.5302172053948772E-7</v>
      </c>
    </row>
    <row r="48" spans="1:24" x14ac:dyDescent="0.3">
      <c r="A48" s="5">
        <v>46</v>
      </c>
      <c r="B48">
        <f>B47*EXP(RATES!O49)*(1-DATA!$B$6)</f>
        <v>99166.189047448002</v>
      </c>
      <c r="C48">
        <f>C47*EXP(RATES!O49)*(1-DATA!$B$6)</f>
        <v>24791.547261862001</v>
      </c>
      <c r="D48">
        <f t="shared" si="1"/>
        <v>123957.73630931</v>
      </c>
      <c r="E48">
        <f>E47*(1-'LIFE TABLE MALE'!D108/1000)</f>
        <v>8.0415959354706781E-5</v>
      </c>
      <c r="F48">
        <f t="shared" si="2"/>
        <v>8.0886923084144818E-6</v>
      </c>
      <c r="G48">
        <f t="shared" si="0"/>
        <v>123937.73630931</v>
      </c>
      <c r="H48">
        <f>MAX(D48,DATA!$B$3)</f>
        <v>123957.73630931</v>
      </c>
      <c r="I48">
        <f>G48*DATA!$B$7*1.5*F47*E48</f>
        <v>2.3404800193291631E-5</v>
      </c>
      <c r="J48">
        <f>H48*'LIFE TABLE MALE'!D108/1000*F47*E47</f>
        <v>1.6524037131772677E-4</v>
      </c>
      <c r="K48">
        <f>0</f>
        <v>0</v>
      </c>
      <c r="L48" s="43">
        <f>DATA!$B$8*((1+DATA!$B$9)^A47)*F48*E48</f>
        <v>7.9286326456730532E-8</v>
      </c>
      <c r="M48">
        <f>B47*EXP(RATES!O49)*(DATA!$B$12)</f>
        <v>1419.5568984297261</v>
      </c>
      <c r="N48">
        <f>C47*EXP(RATES!O49)*(DATA!$B$12)</f>
        <v>354.88922460743152</v>
      </c>
      <c r="O48">
        <f t="shared" si="3"/>
        <v>1774.4461230371576</v>
      </c>
      <c r="P48">
        <f t="shared" si="4"/>
        <v>1.1542061398508717E-6</v>
      </c>
      <c r="Q48">
        <f>RATES!G49</f>
        <v>0.28994370460990543</v>
      </c>
      <c r="R48" s="46">
        <f t="shared" si="5"/>
        <v>1.8987866397732599E-4</v>
      </c>
      <c r="S48">
        <f t="shared" si="6"/>
        <v>5.5054123259965296E-5</v>
      </c>
      <c r="T48">
        <f>C47*EXP(RATES!O49)*(DATA!$B$6-DATA!$B$12)</f>
        <v>202.79384263281796</v>
      </c>
      <c r="U48">
        <f>B47*EXP(RATES!O49)*(DATA!$B$6-DATA!$B$12)</f>
        <v>811.17537053127182</v>
      </c>
      <c r="V48">
        <f t="shared" si="7"/>
        <v>1013.9692131640898</v>
      </c>
      <c r="W48">
        <f t="shared" si="8"/>
        <v>6.595463656290694E-7</v>
      </c>
      <c r="X48">
        <f>W48*BASE!Q48</f>
        <v>1.9123131661249157E-7</v>
      </c>
    </row>
    <row r="49" spans="1:24" x14ac:dyDescent="0.3">
      <c r="A49" s="5">
        <v>47</v>
      </c>
      <c r="B49">
        <f>B48*EXP(RATES!O50)*(1-DATA!$B$6)</f>
        <v>100132.91784628085</v>
      </c>
      <c r="C49">
        <f>C48*EXP(RATES!O50)*(1-DATA!$B$6)</f>
        <v>25033.229461570212</v>
      </c>
      <c r="D49">
        <f t="shared" si="1"/>
        <v>125166.14730785106</v>
      </c>
      <c r="E49">
        <f>E48*(1-'LIFE TABLE MALE'!D109/1000)</f>
        <v>2.836260995277507E-5</v>
      </c>
      <c r="F49">
        <f t="shared" si="2"/>
        <v>6.2687365390212236E-6</v>
      </c>
      <c r="G49">
        <f t="shared" si="0"/>
        <v>125146.14730785106</v>
      </c>
      <c r="H49">
        <f>MAX(D49,DATA!$B$3)</f>
        <v>125166.14730785106</v>
      </c>
      <c r="I49">
        <f>G49*DATA!$B$7*1.5*F48*E49</f>
        <v>6.4598808857248973E-6</v>
      </c>
      <c r="J49">
        <f>H49*'LIFE TABLE MALE'!D109/1000*F48*E48</f>
        <v>5.2700396115315381E-5</v>
      </c>
      <c r="K49">
        <f>0</f>
        <v>0</v>
      </c>
      <c r="L49" s="43">
        <f>DATA!$B$8*((1+DATA!$B$9)^A48)*F49*E49</f>
        <v>2.2105692052004333E-8</v>
      </c>
      <c r="M49">
        <f>B48*EXP(RATES!O50)*(DATA!$B$12)</f>
        <v>1433.3955519917506</v>
      </c>
      <c r="N49">
        <f>C48*EXP(RATES!O50)*(DATA!$B$12)</f>
        <v>358.34888799793765</v>
      </c>
      <c r="O49">
        <f t="shared" si="3"/>
        <v>1791.7444399896883</v>
      </c>
      <c r="P49">
        <f t="shared" si="4"/>
        <v>3.1856809301097198E-7</v>
      </c>
      <c r="Q49">
        <f>RATES!G50</f>
        <v>0.28082727798558355</v>
      </c>
      <c r="R49" s="46">
        <f t="shared" si="5"/>
        <v>5.9500950786103253E-5</v>
      </c>
      <c r="S49">
        <f t="shared" si="6"/>
        <v>1.6709490046815544E-5</v>
      </c>
      <c r="T49">
        <f>C48*EXP(RATES!O50)*(DATA!$B$6-DATA!$B$12)</f>
        <v>204.77079314167861</v>
      </c>
      <c r="U49">
        <f>B48*EXP(RATES!O50)*(DATA!$B$6-DATA!$B$12)</f>
        <v>819.08317256671444</v>
      </c>
      <c r="V49">
        <f t="shared" si="7"/>
        <v>1023.853965708393</v>
      </c>
      <c r="W49">
        <f t="shared" si="8"/>
        <v>1.8203891029198395E-7</v>
      </c>
      <c r="X49">
        <f>W49*BASE!Q49</f>
        <v>5.1121491664759682E-8</v>
      </c>
    </row>
    <row r="50" spans="1:24" x14ac:dyDescent="0.3">
      <c r="A50" s="5">
        <v>48</v>
      </c>
      <c r="B50">
        <f>B49*EXP(RATES!O51)*(1-DATA!$B$6)</f>
        <v>101130.66967745037</v>
      </c>
      <c r="C50">
        <f>C49*EXP(RATES!O51)*(1-DATA!$B$6)</f>
        <v>25282.667419362591</v>
      </c>
      <c r="D50">
        <f t="shared" si="1"/>
        <v>126413.33709681296</v>
      </c>
      <c r="E50">
        <f>E49*(1-'LIFE TABLE MALE'!D110/1000)</f>
        <v>9.0786411414904827E-6</v>
      </c>
      <c r="F50">
        <f t="shared" si="2"/>
        <v>4.8582708177414486E-6</v>
      </c>
      <c r="G50">
        <f t="shared" si="0"/>
        <v>126393.33709681296</v>
      </c>
      <c r="H50">
        <f>MAX(D50,DATA!$B$3)</f>
        <v>126413.33709681296</v>
      </c>
      <c r="I50">
        <f>G50*DATA!$B$7*1.5*F49*E50</f>
        <v>1.6184808534879047E-6</v>
      </c>
      <c r="J50">
        <f>H50*'LIFE TABLE MALE'!D110/1000*F49*E49</f>
        <v>1.5281617825831688E-5</v>
      </c>
      <c r="K50">
        <f>0</f>
        <v>0</v>
      </c>
      <c r="L50" s="43">
        <f>DATA!$B$8*((1+DATA!$B$9)^A49)*F50*E50</f>
        <v>5.5934614230892404E-9</v>
      </c>
      <c r="M50">
        <f>B49*EXP(RATES!O51)*(DATA!$B$12)</f>
        <v>1447.678298041212</v>
      </c>
      <c r="N50">
        <f>C49*EXP(RATES!O51)*(DATA!$B$12)</f>
        <v>361.91957451030299</v>
      </c>
      <c r="O50">
        <f t="shared" si="3"/>
        <v>1809.5978725515149</v>
      </c>
      <c r="P50">
        <f t="shared" si="4"/>
        <v>7.9815023720404838E-8</v>
      </c>
      <c r="Q50">
        <f>RATES!G51</f>
        <v>0.27193939918145021</v>
      </c>
      <c r="R50" s="46">
        <f t="shared" si="5"/>
        <v>1.6985507164463086E-5</v>
      </c>
      <c r="S50">
        <f t="shared" si="6"/>
        <v>4.6190286130963099E-6</v>
      </c>
      <c r="T50">
        <f>C49*EXP(RATES!O51)*(DATA!$B$6-DATA!$B$12)</f>
        <v>206.81118543445879</v>
      </c>
      <c r="U50">
        <f>B49*EXP(RATES!O51)*(DATA!$B$6-DATA!$B$12)</f>
        <v>827.24474173783517</v>
      </c>
      <c r="V50">
        <f t="shared" si="7"/>
        <v>1034.0559271722939</v>
      </c>
      <c r="W50">
        <f t="shared" si="8"/>
        <v>4.5608584983088456E-8</v>
      </c>
      <c r="X50">
        <f>W50*BASE!Q50</f>
        <v>1.2402771197817188E-8</v>
      </c>
    </row>
    <row r="51" spans="1:24" x14ac:dyDescent="0.3">
      <c r="A51" s="5">
        <v>49</v>
      </c>
      <c r="B51">
        <f>B50*EXP(RATES!O52)*(1-DATA!$B$6)</f>
        <v>102111.47643077932</v>
      </c>
      <c r="C51">
        <f>C50*EXP(RATES!O52)*(1-DATA!$B$6)</f>
        <v>25527.869107694831</v>
      </c>
      <c r="D51">
        <f t="shared" si="1"/>
        <v>127639.34553847415</v>
      </c>
      <c r="E51">
        <f>E50*(1-'LIFE TABLE MALE'!D111/1000)</f>
        <v>2.622101305262309E-6</v>
      </c>
      <c r="F51">
        <f t="shared" si="2"/>
        <v>3.7651598837496227E-6</v>
      </c>
      <c r="G51">
        <f t="shared" si="0"/>
        <v>127619.34553847415</v>
      </c>
      <c r="H51">
        <f>MAX(D51,DATA!$B$3)</f>
        <v>127639.34553847415</v>
      </c>
      <c r="I51">
        <f>G51*DATA!$B$7*1.5*F50*E51</f>
        <v>3.6578864373313549E-7</v>
      </c>
      <c r="J51">
        <f>H51*'LIFE TABLE MALE'!D111/1000*F50*E50</f>
        <v>4.003742369186344E-6</v>
      </c>
      <c r="K51">
        <f>0</f>
        <v>0</v>
      </c>
      <c r="L51" s="43">
        <f>DATA!$B$8*((1+DATA!$B$9)^A50)*F51*E51</f>
        <v>1.2770595185233793E-9</v>
      </c>
      <c r="M51">
        <f>B50*EXP(RATES!O52)*(DATA!$B$12)</f>
        <v>1461.7184765142235</v>
      </c>
      <c r="N51">
        <f>C50*EXP(RATES!O52)*(DATA!$B$12)</f>
        <v>365.42961912855588</v>
      </c>
      <c r="O51">
        <f t="shared" si="3"/>
        <v>1827.1480956427795</v>
      </c>
      <c r="P51">
        <f t="shared" si="4"/>
        <v>1.8038758283277436E-8</v>
      </c>
      <c r="Q51">
        <f>RATES!G52</f>
        <v>0.26340215020802832</v>
      </c>
      <c r="R51" s="46">
        <f t="shared" si="5"/>
        <v>4.38884683072128E-6</v>
      </c>
      <c r="S51">
        <f t="shared" si="6"/>
        <v>1.1560316921456757E-6</v>
      </c>
      <c r="T51">
        <f>C50*EXP(RATES!O52)*(DATA!$B$6-DATA!$B$12)</f>
        <v>208.8169252163176</v>
      </c>
      <c r="U51">
        <f>B50*EXP(RATES!O52)*(DATA!$B$6-DATA!$B$12)</f>
        <v>835.2677008652704</v>
      </c>
      <c r="V51">
        <f t="shared" si="7"/>
        <v>1044.0846260815879</v>
      </c>
      <c r="W51">
        <f t="shared" si="8"/>
        <v>1.030786187615853E-8</v>
      </c>
      <c r="X51">
        <f>W51*BASE!Q51</f>
        <v>2.7151129822275178E-9</v>
      </c>
    </row>
    <row r="52" spans="1:24" x14ac:dyDescent="0.3">
      <c r="A52" s="6">
        <v>50</v>
      </c>
      <c r="B52">
        <f>B51*EXP(RATES!O53)*(1-DATA!$B$6)</f>
        <v>103171.99920404634</v>
      </c>
      <c r="C52">
        <f>C51*EXP(RATES!O53)*(1-DATA!$B$6)</f>
        <v>25792.999801011585</v>
      </c>
      <c r="D52">
        <f t="shared" si="1"/>
        <v>128964.99900505792</v>
      </c>
      <c r="E52">
        <f>E51*(1-'LIFE TABLE MALE'!D112/1000)</f>
        <v>6.794887101443695E-7</v>
      </c>
      <c r="F52">
        <f t="shared" si="2"/>
        <v>2.9179989099059577E-6</v>
      </c>
      <c r="G52">
        <f t="shared" si="0"/>
        <v>128944.99900505792</v>
      </c>
      <c r="H52">
        <f>MAX(D52,DATA!$B$3)</f>
        <v>128964.99900505792</v>
      </c>
      <c r="I52">
        <f>G52*DATA!$B$7*1.5*F51*E52</f>
        <v>7.4225424374634818E-8</v>
      </c>
      <c r="J52">
        <f>H52*'LIFE TABLE MALE'!D112/1000*F51*E51</f>
        <v>9.4328185872912075E-7</v>
      </c>
      <c r="K52">
        <f>E52*D52*F52</f>
        <v>2.5570500557005211E-7</v>
      </c>
      <c r="L52" s="43">
        <f>DATA!$B$8*((1+DATA!$B$9)^A51)*F52*E52</f>
        <v>2.61604849954083E-10</v>
      </c>
      <c r="M52">
        <f>B51*EXP(RATES!O53)*(DATA!$B$12)</f>
        <v>1476.8997841070029</v>
      </c>
      <c r="N52">
        <f>C51*EXP(RATES!O53)*(DATA!$B$12)</f>
        <v>369.22494602675073</v>
      </c>
      <c r="O52">
        <f t="shared" si="3"/>
        <v>1846.1247301337537</v>
      </c>
      <c r="P52">
        <f t="shared" si="4"/>
        <v>3.6603988527410325E-9</v>
      </c>
      <c r="Q52">
        <f>RATES!G53</f>
        <v>0.25495931300893881</v>
      </c>
      <c r="R52" s="46">
        <f t="shared" si="5"/>
        <v>1.2771342923765029E-6</v>
      </c>
      <c r="S52">
        <f t="shared" si="6"/>
        <v>3.256172818044704E-7</v>
      </c>
      <c r="T52">
        <f>C51*EXP(RATES!O53)*(DATA!$B$6-DATA!$B$12)</f>
        <v>210.98568344385751</v>
      </c>
      <c r="U52">
        <f>B51*EXP(RATES!O53)*(DATA!$B$6-DATA!$B$12)</f>
        <v>843.94273377543004</v>
      </c>
      <c r="V52">
        <f>T52+U52</f>
        <v>1054.9284172192874</v>
      </c>
      <c r="W52">
        <f t="shared" si="8"/>
        <v>2.0916564872805892E-9</v>
      </c>
      <c r="X52">
        <f>W52*BASE!Q52</f>
        <v>5.3328730104774914E-10</v>
      </c>
    </row>
    <row r="56" spans="1:24" x14ac:dyDescent="0.3">
      <c r="P56" s="52" t="s">
        <v>56</v>
      </c>
      <c r="Q56" s="47">
        <f>SUM(S3:S52)</f>
        <v>95624.088568125866</v>
      </c>
      <c r="T56" s="56" t="s">
        <v>59</v>
      </c>
    </row>
    <row r="57" spans="1:24" x14ac:dyDescent="0.3">
      <c r="P57" s="54" t="s">
        <v>57</v>
      </c>
      <c r="Q57" s="48">
        <f>DATA!B2-Q56</f>
        <v>4375.911431874134</v>
      </c>
      <c r="T57" s="52" t="s">
        <v>60</v>
      </c>
      <c r="U57" s="47">
        <f>SUMPRODUCT(J3:J52,Q3:Q52)</f>
        <v>3665.2089407307162</v>
      </c>
    </row>
    <row r="58" spans="1:24" x14ac:dyDescent="0.3">
      <c r="T58" s="53" t="s">
        <v>61</v>
      </c>
      <c r="U58" s="50">
        <f>SUMPRODUCT(I3:I52,Q3:Q52)</f>
        <v>87486.706767545737</v>
      </c>
    </row>
    <row r="59" spans="1:24" x14ac:dyDescent="0.3">
      <c r="P59" s="55" t="s">
        <v>58</v>
      </c>
      <c r="Q59" s="49">
        <f>SUMPRODUCT(S3:S52,A3:A52)/SUM(S3:S52)</f>
        <v>4.0158341058477554</v>
      </c>
      <c r="T59" s="53" t="s">
        <v>47</v>
      </c>
      <c r="U59" s="51">
        <f>SUMPRODUCT(L3:L52,Q3:Q52)</f>
        <v>157.61835794523549</v>
      </c>
    </row>
    <row r="60" spans="1:24" x14ac:dyDescent="0.3">
      <c r="T60" s="54" t="s">
        <v>48</v>
      </c>
      <c r="U60" s="48">
        <f>SUMPRODUCT(P3:P52,Q3:Q52)</f>
        <v>4314.5545018389694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E79ED-9D48-4BD9-A8DC-C9A1C8FA3BE4}">
  <dimension ref="A1:X60"/>
  <sheetViews>
    <sheetView workbookViewId="0">
      <selection activeCell="P61" sqref="P61:Q63"/>
    </sheetView>
  </sheetViews>
  <sheetFormatPr defaultColWidth="11.19921875" defaultRowHeight="15.6" x14ac:dyDescent="0.3"/>
  <cols>
    <col min="5" max="5" width="13.69921875" customWidth="1"/>
    <col min="6" max="6" width="20.19921875" customWidth="1"/>
    <col min="13" max="13" width="15.296875" customWidth="1"/>
    <col min="14" max="14" width="17" customWidth="1"/>
    <col min="18" max="18" width="11.69921875" bestFit="1" customWidth="1"/>
    <col min="19" max="19" width="13.796875" customWidth="1"/>
    <col min="23" max="23" width="12.5" customWidth="1"/>
  </cols>
  <sheetData>
    <row r="1" spans="1:24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  <c r="X1" s="9" t="s">
        <v>104</v>
      </c>
    </row>
    <row r="2" spans="1:24" x14ac:dyDescent="0.3">
      <c r="A2" s="41">
        <v>0</v>
      </c>
      <c r="B2">
        <f>DATA!B2*0.8</f>
        <v>80000</v>
      </c>
      <c r="C2">
        <f>DATA!B2*0.2</f>
        <v>20000</v>
      </c>
      <c r="D2">
        <f>B2+C2</f>
        <v>100000</v>
      </c>
      <c r="E2">
        <f>1</f>
        <v>1</v>
      </c>
      <c r="F2">
        <f>1</f>
        <v>1</v>
      </c>
      <c r="G2">
        <f>D2-20</f>
        <v>99980</v>
      </c>
      <c r="H2">
        <f>MAX(D2,DATA!$B$3)</f>
        <v>100000</v>
      </c>
      <c r="M2">
        <f>B2</f>
        <v>80000</v>
      </c>
      <c r="N2">
        <f>C2</f>
        <v>20000</v>
      </c>
      <c r="Q2">
        <f>RATES!G3</f>
        <v>1</v>
      </c>
    </row>
    <row r="3" spans="1:24" x14ac:dyDescent="0.3">
      <c r="A3" s="5">
        <v>1</v>
      </c>
      <c r="B3">
        <f>B2*EXP(RATES!O4)*(1-DATA!$B$6)</f>
        <v>80989.353600000002</v>
      </c>
      <c r="C3">
        <f>C2*EXP(RATES!O4)*(1-DATA!$B$6)</f>
        <v>20247.338400000001</v>
      </c>
      <c r="D3">
        <f>B3+C3</f>
        <v>101236.69200000001</v>
      </c>
      <c r="E3">
        <f>E2*(1-'LIFE TABLE MALE'!D63/1000)</f>
        <v>0.99353212999999996</v>
      </c>
      <c r="F3">
        <f>F2*(1-0.075)</f>
        <v>0.92500000000000004</v>
      </c>
      <c r="G3">
        <f t="shared" ref="G3:G52" si="0">D3-20</f>
        <v>101216.69200000001</v>
      </c>
      <c r="H3">
        <f>MAX(D3,DATA!$B$3)</f>
        <v>101236.69200000001</v>
      </c>
      <c r="I3">
        <f>G3*0.075*F2*E3</f>
        <v>7542.1526695735465</v>
      </c>
      <c r="J3">
        <f>H3*'LIFE TABLE MALE'!D63/1000*F2*E2</f>
        <v>654.78576308603999</v>
      </c>
      <c r="K3">
        <f>0</f>
        <v>0</v>
      </c>
      <c r="L3" s="43">
        <f>DATA!$B$8*((1+DATA!$B$9)^A2)*F3*E3</f>
        <v>45.950861012499999</v>
      </c>
      <c r="M3">
        <f>B2*EXP(RATES!O4)*(DATA!$B$12)</f>
        <v>1159.3568</v>
      </c>
      <c r="N3">
        <f>C2*EXP(RATES!O4)*(DATA!$B$12)</f>
        <v>289.83920000000001</v>
      </c>
      <c r="O3">
        <f>M3+N3</f>
        <v>1449.1959999999999</v>
      </c>
      <c r="P3">
        <f>O3*E3*F3</f>
        <v>1331.836079517419</v>
      </c>
      <c r="Q3">
        <f>RATES!G4</f>
        <v>0.96605290105686192</v>
      </c>
      <c r="R3" s="43">
        <f>P3+L3+K3+J3+I3</f>
        <v>9574.7253731895053</v>
      </c>
      <c r="S3">
        <f>R3*Q3</f>
        <v>9249.6912235924665</v>
      </c>
      <c r="T3">
        <f>C2*EXP(RATES!O4)*(DATA!$B$6-DATA!$B$12)</f>
        <v>165.62239999999997</v>
      </c>
      <c r="U3">
        <f>B2*EXP(RATES!O4)*(DATA!$B$6-DATA!$B$12)</f>
        <v>662.48959999999988</v>
      </c>
      <c r="V3">
        <f>T3+U3</f>
        <v>828.11199999999985</v>
      </c>
      <c r="W3">
        <f>V3*E3*F3</f>
        <v>761.04918829566793</v>
      </c>
      <c r="X3">
        <f>W3*BASE!Q3</f>
        <v>735.21377619999998</v>
      </c>
    </row>
    <row r="4" spans="1:24" x14ac:dyDescent="0.3">
      <c r="A4" s="5">
        <v>2</v>
      </c>
      <c r="B4">
        <f>B3*EXP(RATES!O5)*(1-DATA!$B$6)</f>
        <v>81233.889418663224</v>
      </c>
      <c r="C4">
        <f>C3*EXP(RATES!O5)*(1-DATA!$B$6)</f>
        <v>20308.472354665806</v>
      </c>
      <c r="D4">
        <f t="shared" ref="D4:D52" si="1">B4+C4</f>
        <v>101542.36177332903</v>
      </c>
      <c r="E4">
        <f>E3*(1-'LIFE TABLE MALE'!D64/1000)</f>
        <v>0.98647779355864618</v>
      </c>
      <c r="F4">
        <f t="shared" ref="F4:F52" si="2">F3*(1-0.075)</f>
        <v>0.85562500000000008</v>
      </c>
      <c r="G4">
        <f t="shared" si="0"/>
        <v>101522.36177332903</v>
      </c>
      <c r="H4">
        <f>MAX(D4,DATA!$B$3)</f>
        <v>101542.36177332903</v>
      </c>
      <c r="I4">
        <f t="shared" ref="I4:I52" si="3">G4*0.075*F3*E4</f>
        <v>6947.8754085817536</v>
      </c>
      <c r="J4">
        <f>H4*'LIFE TABLE MALE'!D64/1000*F3*E3</f>
        <v>662.59043427382153</v>
      </c>
      <c r="K4">
        <f>0</f>
        <v>0</v>
      </c>
      <c r="L4" s="43">
        <f>DATA!$B$8*((1+DATA!$B$9)^A3)*F4*E4</f>
        <v>43.046808167794453</v>
      </c>
      <c r="M4">
        <f>B3*EXP(RATES!O5)*(DATA!$B$12)</f>
        <v>1162.8573127416005</v>
      </c>
      <c r="N4">
        <f>C3*EXP(RATES!O5)*(DATA!$B$12)</f>
        <v>290.71432818540012</v>
      </c>
      <c r="O4">
        <f t="shared" ref="O4:O52" si="4">M4+N4</f>
        <v>1453.5716409270005</v>
      </c>
      <c r="P4">
        <f t="shared" ref="P4:P52" si="5">O4*E4*F4</f>
        <v>1226.8945016692312</v>
      </c>
      <c r="Q4">
        <f>RATES!G5</f>
        <v>0.94195563634332236</v>
      </c>
      <c r="R4" s="43">
        <f t="shared" ref="R4:R52" si="6">P4+L4+K4+J4+I4</f>
        <v>8880.4071526926018</v>
      </c>
      <c r="S4">
        <f t="shared" ref="S4:S52" si="7">R4*Q4</f>
        <v>8364.949570502351</v>
      </c>
      <c r="T4">
        <f>C3*EXP(RATES!O5)*(DATA!$B$6-DATA!$B$12)</f>
        <v>166.12247324880002</v>
      </c>
      <c r="U4">
        <f>B3*EXP(RATES!O5)*(DATA!$B$6-DATA!$B$12)</f>
        <v>664.48989299520008</v>
      </c>
      <c r="V4">
        <f t="shared" ref="V4:V51" si="8">T4+U4</f>
        <v>830.6123662440001</v>
      </c>
      <c r="W4">
        <f t="shared" ref="W4:W52" si="9">V4*E4*F4</f>
        <v>701.08257238241765</v>
      </c>
      <c r="X4">
        <f>W4*BASE!Q4</f>
        <v>660.38868059769356</v>
      </c>
    </row>
    <row r="5" spans="1:24" x14ac:dyDescent="0.3">
      <c r="A5" s="5">
        <v>3</v>
      </c>
      <c r="B5">
        <f>B4*EXP(RATES!O6)*(1-DATA!$B$6)</f>
        <v>81258.802918728528</v>
      </c>
      <c r="C5">
        <f>C4*EXP(RATES!O6)*(1-DATA!$B$6)</f>
        <v>20314.700729682132</v>
      </c>
      <c r="D5">
        <f t="shared" si="1"/>
        <v>101573.50364841067</v>
      </c>
      <c r="E5">
        <f>E4*(1-'LIFE TABLE MALE'!D65/1000)</f>
        <v>0.97876837095420599</v>
      </c>
      <c r="F5">
        <f t="shared" si="2"/>
        <v>0.79145312500000009</v>
      </c>
      <c r="G5">
        <f t="shared" si="0"/>
        <v>101553.50364841067</v>
      </c>
      <c r="H5">
        <f>MAX(D5,DATA!$B$3)</f>
        <v>101573.50364841067</v>
      </c>
      <c r="I5">
        <f t="shared" si="3"/>
        <v>6378.5147899526082</v>
      </c>
      <c r="J5">
        <f>H5*'LIFE TABLE MALE'!D65/1000*F4*E4</f>
        <v>670.0168912742032</v>
      </c>
      <c r="K5">
        <f>0</f>
        <v>0</v>
      </c>
      <c r="L5" s="43">
        <f>DATA!$B$8*((1+DATA!$B$9)^A4)*F5*E5</f>
        <v>40.297255849545863</v>
      </c>
      <c r="M5">
        <f>B4*EXP(RATES!O6)*(DATA!$B$12)</f>
        <v>1163.2139477118603</v>
      </c>
      <c r="N5">
        <f>C4*EXP(RATES!O6)*(DATA!$B$12)</f>
        <v>290.80348692796508</v>
      </c>
      <c r="O5">
        <f t="shared" si="4"/>
        <v>1454.0174346398253</v>
      </c>
      <c r="P5">
        <f t="shared" si="5"/>
        <v>1126.3535673468161</v>
      </c>
      <c r="Q5">
        <f>RATES!G6</f>
        <v>0.92095016751412107</v>
      </c>
      <c r="R5" s="43">
        <f t="shared" si="6"/>
        <v>8215.1825044231737</v>
      </c>
      <c r="S5">
        <f t="shared" si="7"/>
        <v>7565.7737036075987</v>
      </c>
      <c r="T5">
        <f>C4*EXP(RATES!O6)*(DATA!$B$6-DATA!$B$12)</f>
        <v>166.17342110169432</v>
      </c>
      <c r="U5">
        <f>B4*EXP(RATES!O6)*(DATA!$B$6-DATA!$B$12)</f>
        <v>664.69368440677727</v>
      </c>
      <c r="V5">
        <f t="shared" si="8"/>
        <v>830.86710550847158</v>
      </c>
      <c r="W5">
        <f t="shared" si="9"/>
        <v>643.63060991246641</v>
      </c>
      <c r="X5">
        <f>W5*BASE!Q5</f>
        <v>592.7517180161019</v>
      </c>
    </row>
    <row r="6" spans="1:24" x14ac:dyDescent="0.3">
      <c r="A6" s="5">
        <v>4</v>
      </c>
      <c r="B6">
        <f>B5*EXP(RATES!O7)*(1-DATA!$B$6)</f>
        <v>81219.666893987174</v>
      </c>
      <c r="C6">
        <f>C5*EXP(RATES!O7)*(1-DATA!$B$6)</f>
        <v>20304.916723496794</v>
      </c>
      <c r="D6">
        <f t="shared" si="1"/>
        <v>101524.58361748396</v>
      </c>
      <c r="E6">
        <f>E5*(1-'LIFE TABLE MALE'!D66/1000)</f>
        <v>0.97028747025977602</v>
      </c>
      <c r="F6">
        <f t="shared" si="2"/>
        <v>0.73209414062500011</v>
      </c>
      <c r="G6">
        <f t="shared" si="0"/>
        <v>101504.58361748396</v>
      </c>
      <c r="H6">
        <f>MAX(D6,DATA!$B$3)</f>
        <v>101524.58361748396</v>
      </c>
      <c r="I6">
        <f t="shared" si="3"/>
        <v>5846.1847915472845</v>
      </c>
      <c r="J6">
        <f>H6*'LIFE TABLE MALE'!D66/1000*F5*E5</f>
        <v>681.45689980474822</v>
      </c>
      <c r="K6">
        <f>0</f>
        <v>0</v>
      </c>
      <c r="L6" s="43">
        <f>DATA!$B$8*((1+DATA!$B$9)^A5)*F6*E6</f>
        <v>37.691018543059528</v>
      </c>
      <c r="M6">
        <f>B5*EXP(RATES!O7)*(DATA!$B$12)</f>
        <v>1162.6537183188348</v>
      </c>
      <c r="N6">
        <f>C5*EXP(RATES!O7)*(DATA!$B$12)</f>
        <v>290.66342957970869</v>
      </c>
      <c r="O6">
        <f t="shared" si="4"/>
        <v>1453.3171478985435</v>
      </c>
      <c r="P6">
        <f t="shared" si="5"/>
        <v>1032.3518776788414</v>
      </c>
      <c r="Q6">
        <f>RATES!G7</f>
        <v>0.90112326459071324</v>
      </c>
      <c r="R6" s="43">
        <f t="shared" si="6"/>
        <v>7597.6845875739336</v>
      </c>
      <c r="S6">
        <f t="shared" si="7"/>
        <v>6846.4503388851699</v>
      </c>
      <c r="T6">
        <f>C5*EXP(RATES!O7)*(DATA!$B$6-DATA!$B$12)</f>
        <v>166.09338833126208</v>
      </c>
      <c r="U6">
        <f>B5*EXP(RATES!O7)*(DATA!$B$6-DATA!$B$12)</f>
        <v>664.37355332504831</v>
      </c>
      <c r="V6">
        <f t="shared" si="8"/>
        <v>830.46694165631038</v>
      </c>
      <c r="W6">
        <f t="shared" si="9"/>
        <v>589.91535867362359</v>
      </c>
      <c r="X6">
        <f>W6*BASE!Q6</f>
        <v>531.58645384017723</v>
      </c>
    </row>
    <row r="7" spans="1:24" x14ac:dyDescent="0.3">
      <c r="A7" s="6">
        <v>5</v>
      </c>
      <c r="B7">
        <f>B6*EXP(RATES!O8)*(1-DATA!$B$6)</f>
        <v>81178.572400251767</v>
      </c>
      <c r="C7">
        <f>C6*EXP(RATES!O8)*(1-DATA!$B$6)</f>
        <v>20294.643100062942</v>
      </c>
      <c r="D7">
        <f t="shared" si="1"/>
        <v>101473.21550031471</v>
      </c>
      <c r="E7">
        <f>E6*(1-'LIFE TABLE MALE'!D67/1000)</f>
        <v>0.9609215763955995</v>
      </c>
      <c r="F7">
        <f t="shared" si="2"/>
        <v>0.67718708007812511</v>
      </c>
      <c r="G7">
        <f t="shared" si="0"/>
        <v>101453.21550031471</v>
      </c>
      <c r="H7">
        <f>MAX(D7,DATA!$B$3)</f>
        <v>101473.21550031471</v>
      </c>
      <c r="I7">
        <f t="shared" si="3"/>
        <v>5352.8115716316506</v>
      </c>
      <c r="J7">
        <f>H7*'LIFE TABLE MALE'!D67/1000*F6*E6</f>
        <v>695.77302228937617</v>
      </c>
      <c r="K7">
        <f>0</f>
        <v>0</v>
      </c>
      <c r="L7" s="43">
        <f>DATA!$B$8*((1+DATA!$B$9)^A6)*F7*E7</f>
        <v>35.218211736036096</v>
      </c>
      <c r="M7">
        <f>B6*EXP(RATES!O8)*(DATA!$B$12)</f>
        <v>1162.0654535823362</v>
      </c>
      <c r="N7">
        <f>C6*EXP(RATES!O8)*(DATA!$B$12)</f>
        <v>290.51636339558405</v>
      </c>
      <c r="O7">
        <f t="shared" si="4"/>
        <v>1452.5818169779202</v>
      </c>
      <c r="P7">
        <f t="shared" si="5"/>
        <v>945.22938036586845</v>
      </c>
      <c r="Q7">
        <f>RATES!G8</f>
        <v>0.88174468672828554</v>
      </c>
      <c r="R7" s="43">
        <f t="shared" si="6"/>
        <v>7029.0321860229315</v>
      </c>
      <c r="S7">
        <f t="shared" si="7"/>
        <v>6197.811782867826</v>
      </c>
      <c r="T7">
        <f>C6*EXP(RATES!O8)*(DATA!$B$6-DATA!$B$12)</f>
        <v>166.00935051176228</v>
      </c>
      <c r="U7">
        <f>B6*EXP(RATES!O8)*(DATA!$B$6-DATA!$B$12)</f>
        <v>664.03740204704911</v>
      </c>
      <c r="V7">
        <f t="shared" si="8"/>
        <v>830.04675255881136</v>
      </c>
      <c r="W7">
        <f t="shared" si="9"/>
        <v>540.13107449478184</v>
      </c>
      <c r="X7">
        <f>W7*BASE!Q7</f>
        <v>476.2577050726137</v>
      </c>
    </row>
    <row r="8" spans="1:24" x14ac:dyDescent="0.3">
      <c r="A8" s="5">
        <v>6</v>
      </c>
      <c r="B8">
        <f>B7*EXP(RATES!O9)*(1-DATA!$B$6)</f>
        <v>81192.731414463822</v>
      </c>
      <c r="C8">
        <f>C7*EXP(RATES!O9)*(1-DATA!$B$6)</f>
        <v>20298.182853615956</v>
      </c>
      <c r="D8">
        <f t="shared" si="1"/>
        <v>101490.91426807978</v>
      </c>
      <c r="E8">
        <f>E7*(1-'LIFE TABLE MALE'!D68/1000)</f>
        <v>0.95054816852958335</v>
      </c>
      <c r="F8">
        <f t="shared" si="2"/>
        <v>0.62639804907226571</v>
      </c>
      <c r="G8">
        <f t="shared" si="0"/>
        <v>101470.91426807978</v>
      </c>
      <c r="H8">
        <f>MAX(D8,DATA!$B$3)</f>
        <v>101490.91426807978</v>
      </c>
      <c r="I8">
        <f t="shared" si="3"/>
        <v>4898.7539868995327</v>
      </c>
      <c r="J8">
        <f>H8*'LIFE TABLE MALE'!D68/1000*F7*E7</f>
        <v>712.94706011525341</v>
      </c>
      <c r="K8">
        <f>0</f>
        <v>0</v>
      </c>
      <c r="L8" s="43">
        <f>DATA!$B$8*((1+DATA!$B$9)^A7)*F8*E8</f>
        <v>32.869673409252712</v>
      </c>
      <c r="M8">
        <f>B7*EXP(RATES!O9)*(DATA!$B$12)</f>
        <v>1162.2681388573553</v>
      </c>
      <c r="N8">
        <f>C7*EXP(RATES!O9)*(DATA!$B$12)</f>
        <v>290.56703471433883</v>
      </c>
      <c r="O8">
        <f t="shared" si="4"/>
        <v>1452.8351735716942</v>
      </c>
      <c r="P8">
        <f t="shared" si="5"/>
        <v>865.04932491116006</v>
      </c>
      <c r="Q8">
        <f>RATES!G9</f>
        <v>0.86219592102620646</v>
      </c>
      <c r="R8" s="43">
        <f t="shared" si="6"/>
        <v>6509.6200453351994</v>
      </c>
      <c r="S8">
        <f t="shared" si="7"/>
        <v>5612.5678505184378</v>
      </c>
      <c r="T8">
        <f>C7*EXP(RATES!O9)*(DATA!$B$6-DATA!$B$12)</f>
        <v>166.03830555105071</v>
      </c>
      <c r="U8">
        <f>B7*EXP(RATES!O9)*(DATA!$B$6-DATA!$B$12)</f>
        <v>664.15322220420285</v>
      </c>
      <c r="V8">
        <f t="shared" si="8"/>
        <v>830.19152775525356</v>
      </c>
      <c r="W8">
        <f t="shared" si="9"/>
        <v>494.31389994923416</v>
      </c>
      <c r="X8">
        <f>W8*BASE!Q8</f>
        <v>426.19542824278602</v>
      </c>
    </row>
    <row r="9" spans="1:24" x14ac:dyDescent="0.3">
      <c r="A9" s="5">
        <v>7</v>
      </c>
      <c r="B9">
        <f>B8*EXP(RATES!O10)*(1-DATA!$B$6)</f>
        <v>81254.382012178379</v>
      </c>
      <c r="C9">
        <f>C8*EXP(RATES!O10)*(1-DATA!$B$6)</f>
        <v>20313.595503044595</v>
      </c>
      <c r="D9">
        <f t="shared" si="1"/>
        <v>101567.97751522297</v>
      </c>
      <c r="E9">
        <f>E8*(1-'LIFE TABLE MALE'!D69/1000)</f>
        <v>0.93939989246654454</v>
      </c>
      <c r="F9">
        <f t="shared" si="2"/>
        <v>0.5794181953918458</v>
      </c>
      <c r="G9">
        <f t="shared" si="0"/>
        <v>101547.97751522297</v>
      </c>
      <c r="H9">
        <f>MAX(D9,DATA!$B$3)</f>
        <v>101567.97751522297</v>
      </c>
      <c r="I9">
        <f t="shared" si="3"/>
        <v>4481.603639209321</v>
      </c>
      <c r="J9">
        <f>H9*'LIFE TABLE MALE'!D69/1000*F8*E8</f>
        <v>709.27542975785047</v>
      </c>
      <c r="K9">
        <f>0</f>
        <v>0</v>
      </c>
      <c r="L9" s="43">
        <f>DATA!$B$8*((1+DATA!$B$9)^A8)*F9*E9</f>
        <v>30.648813766057156</v>
      </c>
      <c r="M9">
        <f>B8*EXP(RATES!O10)*(DATA!$B$12)</f>
        <v>1163.1506627510198</v>
      </c>
      <c r="N9">
        <f>C8*EXP(RATES!O10)*(DATA!$B$12)</f>
        <v>290.78766568775495</v>
      </c>
      <c r="O9">
        <f t="shared" si="4"/>
        <v>1453.9383284387748</v>
      </c>
      <c r="P9">
        <f t="shared" si="5"/>
        <v>791.386469542741</v>
      </c>
      <c r="Q9">
        <f>RATES!G10</f>
        <v>0.84258782390013232</v>
      </c>
      <c r="R9" s="43">
        <f t="shared" si="6"/>
        <v>6012.9143522759696</v>
      </c>
      <c r="S9">
        <f t="shared" si="7"/>
        <v>5066.4084193820827</v>
      </c>
      <c r="T9">
        <f>C8*EXP(RATES!O10)*(DATA!$B$6-DATA!$B$12)</f>
        <v>166.1643803930028</v>
      </c>
      <c r="U9">
        <f>B8*EXP(RATES!O10)*(DATA!$B$6-DATA!$B$12)</f>
        <v>664.65752157201121</v>
      </c>
      <c r="V9">
        <f t="shared" si="8"/>
        <v>830.82190196501404</v>
      </c>
      <c r="W9">
        <f t="shared" si="9"/>
        <v>452.220839738709</v>
      </c>
      <c r="X9">
        <f>W9*BASE!Q9</f>
        <v>381.03577327772928</v>
      </c>
    </row>
    <row r="10" spans="1:24" x14ac:dyDescent="0.3">
      <c r="A10" s="5">
        <v>8</v>
      </c>
      <c r="B10">
        <f>B9*EXP(RATES!O11)*(1-DATA!$B$6)</f>
        <v>81365.273383019157</v>
      </c>
      <c r="C10">
        <f>C9*EXP(RATES!O11)*(1-DATA!$B$6)</f>
        <v>20341.318345754789</v>
      </c>
      <c r="D10">
        <f t="shared" si="1"/>
        <v>101706.59172877394</v>
      </c>
      <c r="E10">
        <f>E9*(1-'LIFE TABLE MALE'!D70/1000)</f>
        <v>0.9273775090067512</v>
      </c>
      <c r="F10">
        <f t="shared" si="2"/>
        <v>0.5359618307374574</v>
      </c>
      <c r="G10">
        <f t="shared" si="0"/>
        <v>101686.59172877394</v>
      </c>
      <c r="H10">
        <f>MAX(D10,DATA!$B$3)</f>
        <v>101706.59172877394</v>
      </c>
      <c r="I10">
        <f t="shared" si="3"/>
        <v>4098.0159347799217</v>
      </c>
      <c r="J10">
        <f>H10*'LIFE TABLE MALE'!D70/1000*F9*E9</f>
        <v>708.48686989855958</v>
      </c>
      <c r="K10">
        <f>0</f>
        <v>0</v>
      </c>
      <c r="L10" s="43">
        <f>DATA!$B$8*((1+DATA!$B$9)^A9)*F10*E10</f>
        <v>28.547075763525925</v>
      </c>
      <c r="M10">
        <f>B9*EXP(RATES!O11)*(DATA!$B$12)</f>
        <v>1164.7380647875952</v>
      </c>
      <c r="N10">
        <f>C9*EXP(RATES!O11)*(DATA!$B$12)</f>
        <v>291.18451619689881</v>
      </c>
      <c r="O10">
        <f t="shared" si="4"/>
        <v>1455.9225809844941</v>
      </c>
      <c r="P10">
        <f t="shared" si="5"/>
        <v>723.6502273114894</v>
      </c>
      <c r="Q10">
        <f>RATES!G11</f>
        <v>0.82292780659029441</v>
      </c>
      <c r="R10" s="43">
        <f t="shared" si="6"/>
        <v>5558.7001077534969</v>
      </c>
      <c r="S10">
        <f t="shared" si="7"/>
        <v>4574.4088871668182</v>
      </c>
      <c r="T10">
        <f>C9*EXP(RATES!O11)*(DATA!$B$6-DATA!$B$12)</f>
        <v>166.39115211251357</v>
      </c>
      <c r="U10">
        <f>B9*EXP(RATES!O11)*(DATA!$B$6-DATA!$B$12)</f>
        <v>665.56460845005427</v>
      </c>
      <c r="V10">
        <f t="shared" si="8"/>
        <v>831.95576056256778</v>
      </c>
      <c r="W10">
        <f t="shared" si="9"/>
        <v>413.51441560656519</v>
      </c>
      <c r="X10">
        <f>W10*BASE!Q10</f>
        <v>340.29251102857808</v>
      </c>
    </row>
    <row r="11" spans="1:24" x14ac:dyDescent="0.3">
      <c r="A11" s="5">
        <v>9</v>
      </c>
      <c r="B11">
        <f>B10*EXP(RATES!O12)*(1-DATA!$B$6)</f>
        <v>81523.24029763104</v>
      </c>
      <c r="C11">
        <f>C10*EXP(RATES!O12)*(1-DATA!$B$6)</f>
        <v>20380.81007440776</v>
      </c>
      <c r="D11">
        <f t="shared" si="1"/>
        <v>101904.05037203879</v>
      </c>
      <c r="E11">
        <f>E10*(1-'LIFE TABLE MALE'!D71/1000)</f>
        <v>0.91441741759215689</v>
      </c>
      <c r="F11">
        <f t="shared" si="2"/>
        <v>0.49576469343214813</v>
      </c>
      <c r="G11">
        <f t="shared" si="0"/>
        <v>101884.05037203879</v>
      </c>
      <c r="H11">
        <f>MAX(D11,DATA!$B$3)</f>
        <v>101904.05037203879</v>
      </c>
      <c r="I11">
        <f t="shared" si="3"/>
        <v>3744.9482177848445</v>
      </c>
      <c r="J11">
        <f>H11*'LIFE TABLE MALE'!D71/1000*F10*E10</f>
        <v>707.83718366637106</v>
      </c>
      <c r="K11">
        <f>0</f>
        <v>0</v>
      </c>
      <c r="L11" s="43">
        <f>DATA!$B$8*((1+DATA!$B$9)^A10)*F11*E11</f>
        <v>26.55776128261753</v>
      </c>
      <c r="M11">
        <f>B10*EXP(RATES!O12)*(DATA!$B$12)</f>
        <v>1166.9993498638389</v>
      </c>
      <c r="N11">
        <f>C10*EXP(RATES!O12)*(DATA!$B$12)</f>
        <v>291.74983746595973</v>
      </c>
      <c r="O11">
        <f t="shared" si="4"/>
        <v>1458.7491873297986</v>
      </c>
      <c r="P11">
        <f t="shared" si="5"/>
        <v>661.30333297339428</v>
      </c>
      <c r="Q11">
        <f>RATES!G12</f>
        <v>0.80326389514893892</v>
      </c>
      <c r="R11" s="43">
        <f t="shared" si="6"/>
        <v>5140.6464957072276</v>
      </c>
      <c r="S11">
        <f t="shared" si="7"/>
        <v>4129.2957277255309</v>
      </c>
      <c r="T11">
        <f>C10*EXP(RATES!O12)*(DATA!$B$6-DATA!$B$12)</f>
        <v>166.71419283769126</v>
      </c>
      <c r="U11">
        <f>B10*EXP(RATES!O12)*(DATA!$B$6-DATA!$B$12)</f>
        <v>666.85677135076503</v>
      </c>
      <c r="V11">
        <f t="shared" si="8"/>
        <v>833.57096418845629</v>
      </c>
      <c r="W11">
        <f t="shared" si="9"/>
        <v>377.88761884193957</v>
      </c>
      <c r="X11">
        <f>W11*BASE!Q11</f>
        <v>303.54348063953393</v>
      </c>
    </row>
    <row r="12" spans="1:24" x14ac:dyDescent="0.3">
      <c r="A12" s="6">
        <v>10</v>
      </c>
      <c r="B12">
        <f>B11*EXP(RATES!O13)*(1-DATA!$B$6)</f>
        <v>81742.119978905175</v>
      </c>
      <c r="C12">
        <f>C11*EXP(RATES!O13)*(1-DATA!$B$6)</f>
        <v>20435.529994726294</v>
      </c>
      <c r="D12">
        <f t="shared" si="1"/>
        <v>102177.64997363147</v>
      </c>
      <c r="E12">
        <f>E11*(1-'LIFE TABLE MALE'!D72/1000)</f>
        <v>0.90009759511179277</v>
      </c>
      <c r="F12">
        <f t="shared" si="2"/>
        <v>0.45858234142473703</v>
      </c>
      <c r="G12">
        <f t="shared" si="0"/>
        <v>102157.64997363147</v>
      </c>
      <c r="H12">
        <f>MAX(D12,DATA!$B$3)</f>
        <v>102177.64997363147</v>
      </c>
      <c r="I12">
        <f t="shared" si="3"/>
        <v>3418.986242706917</v>
      </c>
      <c r="J12">
        <f>H12*'LIFE TABLE MALE'!D72/1000*F11*E11</f>
        <v>725.38594878052265</v>
      </c>
      <c r="K12">
        <f>0</f>
        <v>0</v>
      </c>
      <c r="L12" s="43">
        <f>DATA!$B$8*((1+DATA!$B$9)^A11)*F12*E12</f>
        <v>24.664850017206707</v>
      </c>
      <c r="M12">
        <f>B11*EXP(RATES!O13)*(DATA!$B$12)</f>
        <v>1170.1325968350434</v>
      </c>
      <c r="N12">
        <f>C11*EXP(RATES!O13)*(DATA!$B$12)</f>
        <v>292.53314920876085</v>
      </c>
      <c r="O12">
        <f t="shared" si="4"/>
        <v>1462.6657460438041</v>
      </c>
      <c r="P12">
        <f t="shared" si="5"/>
        <v>603.7428764713128</v>
      </c>
      <c r="Q12">
        <f>RATES!G13</f>
        <v>0.78348852098697186</v>
      </c>
      <c r="R12" s="43">
        <f t="shared" si="6"/>
        <v>4772.7799179759586</v>
      </c>
      <c r="S12">
        <f t="shared" si="7"/>
        <v>3739.4182789313045</v>
      </c>
      <c r="T12">
        <f>C11*EXP(RATES!O13)*(DATA!$B$6-DATA!$B$12)</f>
        <v>167.1617995478633</v>
      </c>
      <c r="U12">
        <f>B11*EXP(RATES!O13)*(DATA!$B$6-DATA!$B$12)</f>
        <v>668.64719819145319</v>
      </c>
      <c r="V12">
        <f t="shared" si="8"/>
        <v>835.80899773931651</v>
      </c>
      <c r="W12">
        <f t="shared" si="9"/>
        <v>344.99592941217867</v>
      </c>
      <c r="X12">
        <f>W12*BASE!Q12</f>
        <v>270.3003504816736</v>
      </c>
    </row>
    <row r="13" spans="1:24" x14ac:dyDescent="0.3">
      <c r="A13" s="5">
        <v>11</v>
      </c>
      <c r="B13">
        <f>B12*EXP(RATES!O14)*(1-DATA!$B$6)</f>
        <v>82068.023997806304</v>
      </c>
      <c r="C13">
        <f>C12*EXP(RATES!O14)*(1-DATA!$B$6)</f>
        <v>20517.005999451576</v>
      </c>
      <c r="D13">
        <f t="shared" si="1"/>
        <v>102585.02999725788</v>
      </c>
      <c r="E13">
        <f>E12*(1-'LIFE TABLE MALE'!D73/1000)</f>
        <v>0.88436966777579928</v>
      </c>
      <c r="F13">
        <f t="shared" si="2"/>
        <v>0.42418866581788178</v>
      </c>
      <c r="G13">
        <f t="shared" si="0"/>
        <v>102565.02999725788</v>
      </c>
      <c r="H13">
        <f>MAX(D13,DATA!$B$3)</f>
        <v>102585.02999725788</v>
      </c>
      <c r="I13">
        <f t="shared" si="3"/>
        <v>3119.692155121229</v>
      </c>
      <c r="J13">
        <f>H13*'LIFE TABLE MALE'!D73/1000*F12*E12</f>
        <v>739.89963179346046</v>
      </c>
      <c r="K13">
        <f>0</f>
        <v>0</v>
      </c>
      <c r="L13" s="43">
        <f>DATA!$B$8*((1+DATA!$B$9)^A12)*F13*E13</f>
        <v>22.864653313763817</v>
      </c>
      <c r="M13">
        <f>B12*EXP(RATES!O14)*(DATA!$B$12)</f>
        <v>1174.7978895391495</v>
      </c>
      <c r="N13">
        <f>C12*EXP(RATES!O14)*(DATA!$B$12)</f>
        <v>293.69947238478738</v>
      </c>
      <c r="O13">
        <f t="shared" si="4"/>
        <v>1468.497361923937</v>
      </c>
      <c r="P13">
        <f t="shared" si="5"/>
        <v>550.89149748055422</v>
      </c>
      <c r="Q13">
        <f>RATES!G14</f>
        <v>0.76320887666583526</v>
      </c>
      <c r="R13" s="43">
        <f t="shared" si="6"/>
        <v>4433.347937709008</v>
      </c>
      <c r="S13">
        <f t="shared" si="7"/>
        <v>3383.5704994076896</v>
      </c>
      <c r="T13">
        <f>C12*EXP(RATES!O14)*(DATA!$B$6-DATA!$B$12)</f>
        <v>167.82826993416418</v>
      </c>
      <c r="U13">
        <f>B12*EXP(RATES!O14)*(DATA!$B$6-DATA!$B$12)</f>
        <v>671.31307973665673</v>
      </c>
      <c r="V13">
        <f t="shared" si="8"/>
        <v>839.14134967082089</v>
      </c>
      <c r="W13">
        <f t="shared" si="9"/>
        <v>314.79514141745949</v>
      </c>
      <c r="X13">
        <f>W13*BASE!Q13</f>
        <v>240.25444626108199</v>
      </c>
    </row>
    <row r="14" spans="1:24" x14ac:dyDescent="0.3">
      <c r="A14" s="5">
        <v>12</v>
      </c>
      <c r="B14">
        <f>B13*EXP(RATES!O15)*(1-DATA!$B$6)</f>
        <v>82258.656528029838</v>
      </c>
      <c r="C14">
        <f>C13*EXP(RATES!O15)*(1-DATA!$B$6)</f>
        <v>20564.66413200746</v>
      </c>
      <c r="D14">
        <f t="shared" si="1"/>
        <v>102823.32066003729</v>
      </c>
      <c r="E14">
        <f>E13*(1-'LIFE TABLE MALE'!D74/1000)</f>
        <v>0.86691443914546784</v>
      </c>
      <c r="F14">
        <f t="shared" si="2"/>
        <v>0.39237451588154065</v>
      </c>
      <c r="G14">
        <f t="shared" si="0"/>
        <v>102803.32066003729</v>
      </c>
      <c r="H14">
        <f>MAX(D14,DATA!$B$3)</f>
        <v>102823.32066003729</v>
      </c>
      <c r="I14">
        <f t="shared" si="3"/>
        <v>2835.3305878408432</v>
      </c>
      <c r="J14">
        <f>H14*'LIFE TABLE MALE'!D74/1000*F13*E13</f>
        <v>761.3357562282149</v>
      </c>
      <c r="K14">
        <f>0</f>
        <v>0</v>
      </c>
      <c r="L14" s="43">
        <f>DATA!$B$8*((1+DATA!$B$9)^A13)*F14*E14</f>
        <v>21.147007685066846</v>
      </c>
      <c r="M14">
        <f>B13*EXP(RATES!O15)*(DATA!$B$12)</f>
        <v>1177.5267805648443</v>
      </c>
      <c r="N14">
        <f>C13*EXP(RATES!O15)*(DATA!$B$12)</f>
        <v>294.38169514121108</v>
      </c>
      <c r="O14">
        <f t="shared" si="4"/>
        <v>1471.9084757060555</v>
      </c>
      <c r="P14">
        <f t="shared" si="5"/>
        <v>500.67722386284532</v>
      </c>
      <c r="Q14">
        <f>RATES!G15</f>
        <v>0.74468847430975171</v>
      </c>
      <c r="R14" s="44">
        <f t="shared" si="6"/>
        <v>4118.4905756169701</v>
      </c>
      <c r="S14">
        <f t="shared" si="7"/>
        <v>3066.9924632152924</v>
      </c>
      <c r="T14">
        <f>C13*EXP(RATES!O15)*(DATA!$B$6-DATA!$B$12)</f>
        <v>168.21811150926345</v>
      </c>
      <c r="U14">
        <f>B13*EXP(RATES!O15)*(DATA!$B$6-DATA!$B$12)</f>
        <v>672.87244603705381</v>
      </c>
      <c r="V14">
        <f t="shared" si="8"/>
        <v>841.09055754631731</v>
      </c>
      <c r="W14">
        <f t="shared" si="9"/>
        <v>286.10127077876871</v>
      </c>
      <c r="X14">
        <f>W14*BASE!Q14</f>
        <v>213.05631883432241</v>
      </c>
    </row>
    <row r="15" spans="1:24" x14ac:dyDescent="0.3">
      <c r="A15" s="5">
        <v>13</v>
      </c>
      <c r="B15">
        <f>B14*EXP(RATES!O16)*(1-DATA!$B$6)</f>
        <v>82502.039008492662</v>
      </c>
      <c r="C15">
        <f>C14*EXP(RATES!O16)*(1-DATA!$B$6)</f>
        <v>20625.509752123166</v>
      </c>
      <c r="D15">
        <f t="shared" si="1"/>
        <v>103127.54876061583</v>
      </c>
      <c r="E15">
        <f>E14*(1-'LIFE TABLE MALE'!D75/1000)</f>
        <v>0.84808352308867097</v>
      </c>
      <c r="F15">
        <f t="shared" si="2"/>
        <v>0.36294642719042514</v>
      </c>
      <c r="G15">
        <f t="shared" si="0"/>
        <v>103107.54876061583</v>
      </c>
      <c r="H15">
        <f>MAX(D15,DATA!$B$3)</f>
        <v>103127.54876061583</v>
      </c>
      <c r="I15">
        <f t="shared" si="3"/>
        <v>2573.3042906314554</v>
      </c>
      <c r="J15">
        <f>H15*'LIFE TABLE MALE'!D75/1000*F14*E14</f>
        <v>761.98590050973849</v>
      </c>
      <c r="K15">
        <f>0</f>
        <v>0</v>
      </c>
      <c r="L15" s="43">
        <f>DATA!$B$8*((1+DATA!$B$9)^A14)*F15*E15</f>
        <v>19.518804613434781</v>
      </c>
      <c r="M15">
        <f>B14*EXP(RATES!O16)*(DATA!$B$12)</f>
        <v>1181.0107833526558</v>
      </c>
      <c r="N15">
        <f>C14*EXP(RATES!O16)*(DATA!$B$12)</f>
        <v>295.25269583816396</v>
      </c>
      <c r="O15">
        <f t="shared" si="4"/>
        <v>1476.2634791908199</v>
      </c>
      <c r="P15">
        <f t="shared" si="5"/>
        <v>454.40701500007236</v>
      </c>
      <c r="Q15">
        <f>RATES!G16</f>
        <v>0.72615681422166556</v>
      </c>
      <c r="R15" s="44">
        <f t="shared" si="6"/>
        <v>3809.2160107547011</v>
      </c>
      <c r="S15">
        <f t="shared" si="7"/>
        <v>2766.0881630517956</v>
      </c>
      <c r="T15">
        <f>C14*EXP(RATES!O16)*(DATA!$B$6-DATA!$B$12)</f>
        <v>168.7158261932365</v>
      </c>
      <c r="U15">
        <f>B14*EXP(RATES!O16)*(DATA!$B$6-DATA!$B$12)</f>
        <v>674.86330477294598</v>
      </c>
      <c r="V15">
        <f t="shared" si="8"/>
        <v>843.57913096618245</v>
      </c>
      <c r="W15">
        <f t="shared" si="9"/>
        <v>259.6611514286127</v>
      </c>
      <c r="X15">
        <f>W15*BASE!Q15</f>
        <v>188.55471449853087</v>
      </c>
    </row>
    <row r="16" spans="1:24" x14ac:dyDescent="0.3">
      <c r="A16" s="5">
        <v>14</v>
      </c>
      <c r="B16">
        <f>B15*EXP(RATES!O17)*(1-DATA!$B$6)</f>
        <v>82776.822411940768</v>
      </c>
      <c r="C16">
        <f>C15*EXP(RATES!O17)*(1-DATA!$B$6)</f>
        <v>20694.205602985192</v>
      </c>
      <c r="D16">
        <f t="shared" si="1"/>
        <v>103471.02801492596</v>
      </c>
      <c r="E16">
        <f>E15*(1-'LIFE TABLE MALE'!D76/1000)</f>
        <v>0.82779649169036118</v>
      </c>
      <c r="F16">
        <f t="shared" si="2"/>
        <v>0.33572544515114328</v>
      </c>
      <c r="G16">
        <f t="shared" si="0"/>
        <v>103451.02801492596</v>
      </c>
      <c r="H16">
        <f>MAX(D16,DATA!$B$3)</f>
        <v>103471.02801492596</v>
      </c>
      <c r="I16">
        <f t="shared" si="3"/>
        <v>2331.1068532963586</v>
      </c>
      <c r="J16">
        <f>H16*'LIFE TABLE MALE'!D76/1000*F15*E15</f>
        <v>761.86810212225123</v>
      </c>
      <c r="K16">
        <f>0</f>
        <v>0</v>
      </c>
      <c r="L16" s="43">
        <f>DATA!$B$8*((1+DATA!$B$9)^A15)*F16*E16</f>
        <v>17.975462652009405</v>
      </c>
      <c r="M16">
        <f>B15*EXP(RATES!O17)*(DATA!$B$12)</f>
        <v>1184.9442881054915</v>
      </c>
      <c r="N16">
        <f>C15*EXP(RATES!O17)*(DATA!$B$12)</f>
        <v>296.23607202637288</v>
      </c>
      <c r="O16">
        <f t="shared" si="4"/>
        <v>1481.1803601318643</v>
      </c>
      <c r="P16">
        <f t="shared" si="5"/>
        <v>411.63830824058431</v>
      </c>
      <c r="Q16">
        <f>RATES!G17</f>
        <v>0.70782386801134656</v>
      </c>
      <c r="R16" s="44">
        <f t="shared" si="6"/>
        <v>3522.5887263112036</v>
      </c>
      <c r="S16">
        <f t="shared" si="7"/>
        <v>2493.3723776707589</v>
      </c>
      <c r="T16">
        <f>C15*EXP(RATES!O17)*(DATA!$B$6-DATA!$B$12)</f>
        <v>169.27775544364161</v>
      </c>
      <c r="U16">
        <f>B15*EXP(RATES!O17)*(DATA!$B$6-DATA!$B$12)</f>
        <v>677.11102177456644</v>
      </c>
      <c r="V16">
        <f t="shared" si="8"/>
        <v>846.38877721820802</v>
      </c>
      <c r="W16">
        <f t="shared" si="9"/>
        <v>235.22189042319098</v>
      </c>
      <c r="X16">
        <f>W16*BASE!Q16</f>
        <v>166.49566832028415</v>
      </c>
    </row>
    <row r="17" spans="1:24" x14ac:dyDescent="0.3">
      <c r="A17" s="6">
        <v>15</v>
      </c>
      <c r="B17">
        <f>B16*EXP(RATES!O18)*(1-DATA!$B$6)</f>
        <v>82966.673538954565</v>
      </c>
      <c r="C17">
        <f>C16*EXP(RATES!O18)*(1-DATA!$B$6)</f>
        <v>20741.668384738641</v>
      </c>
      <c r="D17">
        <f t="shared" si="1"/>
        <v>103708.34192369321</v>
      </c>
      <c r="E17">
        <f>E16*(1-'LIFE TABLE MALE'!D77/1000)</f>
        <v>0.80629125769035137</v>
      </c>
      <c r="F17">
        <f t="shared" si="2"/>
        <v>0.31054603676480752</v>
      </c>
      <c r="G17">
        <f t="shared" si="0"/>
        <v>103688.34192369321</v>
      </c>
      <c r="H17">
        <f>MAX(D17,DATA!$B$3)</f>
        <v>103708.34192369321</v>
      </c>
      <c r="I17">
        <f t="shared" si="3"/>
        <v>2105.0741704088782</v>
      </c>
      <c r="J17">
        <f>H17*'LIFE TABLE MALE'!D77/1000*F16*E16</f>
        <v>748.75911400018492</v>
      </c>
      <c r="K17">
        <f>0</f>
        <v>0</v>
      </c>
      <c r="L17" s="43">
        <f>DATA!$B$8*((1+DATA!$B$9)^A16)*F17*E17</f>
        <v>16.51925096026708</v>
      </c>
      <c r="M17">
        <f>B16*EXP(RATES!O18)*(DATA!$B$12)</f>
        <v>1187.6619934001676</v>
      </c>
      <c r="N17">
        <f>C16*EXP(RATES!O18)*(DATA!$B$12)</f>
        <v>296.9154983500419</v>
      </c>
      <c r="O17">
        <f t="shared" si="4"/>
        <v>1484.5774917502094</v>
      </c>
      <c r="P17">
        <f t="shared" si="5"/>
        <v>371.72418143749974</v>
      </c>
      <c r="Q17">
        <f>RATES!G18</f>
        <v>0.6906676758678868</v>
      </c>
      <c r="R17" s="44">
        <f t="shared" si="6"/>
        <v>3242.0767168068301</v>
      </c>
      <c r="S17">
        <f t="shared" si="7"/>
        <v>2239.1975909823623</v>
      </c>
      <c r="T17">
        <f>C16*EXP(RATES!O18)*(DATA!$B$6-DATA!$B$12)</f>
        <v>169.66599905716677</v>
      </c>
      <c r="U17">
        <f>B16*EXP(RATES!O18)*(DATA!$B$6-DATA!$B$12)</f>
        <v>678.66399622866709</v>
      </c>
      <c r="V17">
        <f t="shared" si="8"/>
        <v>848.32999528583389</v>
      </c>
      <c r="W17">
        <f t="shared" si="9"/>
        <v>212.41381796428553</v>
      </c>
      <c r="X17">
        <f>W17*BASE!Q17</f>
        <v>146.70735797561747</v>
      </c>
    </row>
    <row r="18" spans="1:24" x14ac:dyDescent="0.3">
      <c r="A18" s="5">
        <v>16</v>
      </c>
      <c r="B18">
        <f>B17*EXP(RATES!O19)*(1-DATA!$B$6)</f>
        <v>83012.664280582845</v>
      </c>
      <c r="C18">
        <f>C17*EXP(RATES!O19)*(1-DATA!$B$6)</f>
        <v>20753.166070145711</v>
      </c>
      <c r="D18">
        <f t="shared" si="1"/>
        <v>103765.83035072856</v>
      </c>
      <c r="E18">
        <f>E17*(1-'LIFE TABLE MALE'!D78/1000)</f>
        <v>0.78272955654492149</v>
      </c>
      <c r="F18">
        <f t="shared" si="2"/>
        <v>0.28725508400744698</v>
      </c>
      <c r="G18">
        <f t="shared" si="0"/>
        <v>103745.83035072856</v>
      </c>
      <c r="H18">
        <f>MAX(D18,DATA!$B$3)</f>
        <v>103765.83035072856</v>
      </c>
      <c r="I18">
        <f t="shared" si="3"/>
        <v>1891.3401366776047</v>
      </c>
      <c r="J18">
        <f>H18*'LIFE TABLE MALE'!D78/1000*F17*E17</f>
        <v>759.25384499211725</v>
      </c>
      <c r="K18">
        <f>0</f>
        <v>0</v>
      </c>
      <c r="L18" s="43">
        <f>DATA!$B$8*((1+DATA!$B$9)^A17)*F18*E18</f>
        <v>15.130456735622007</v>
      </c>
      <c r="M18">
        <f>B17*EXP(RATES!O19)*(DATA!$B$12)</f>
        <v>1188.3203475748055</v>
      </c>
      <c r="N18">
        <f>C17*EXP(RATES!O19)*(DATA!$B$12)</f>
        <v>297.08008689370138</v>
      </c>
      <c r="O18">
        <f t="shared" si="4"/>
        <v>1485.4004344685068</v>
      </c>
      <c r="P18">
        <f t="shared" si="5"/>
        <v>333.98195601785835</v>
      </c>
      <c r="Q18">
        <f>RATES!G19</f>
        <v>0.67509876092267374</v>
      </c>
      <c r="R18" s="44">
        <f t="shared" si="6"/>
        <v>2999.7063944232023</v>
      </c>
      <c r="S18">
        <f t="shared" si="7"/>
        <v>2025.0980700069251</v>
      </c>
      <c r="T18">
        <f>C17*EXP(RATES!O19)*(DATA!$B$6-DATA!$B$12)</f>
        <v>169.76004965354363</v>
      </c>
      <c r="U18">
        <f>B17*EXP(RATES!O19)*(DATA!$B$6-DATA!$B$12)</f>
        <v>679.04019861417453</v>
      </c>
      <c r="V18">
        <f t="shared" si="8"/>
        <v>848.80024826771819</v>
      </c>
      <c r="W18">
        <f t="shared" si="9"/>
        <v>190.84683201020479</v>
      </c>
      <c r="X18">
        <f>W18*BASE!Q18</f>
        <v>128.84045981610691</v>
      </c>
    </row>
    <row r="19" spans="1:24" x14ac:dyDescent="0.3">
      <c r="A19" s="5">
        <v>17</v>
      </c>
      <c r="B19">
        <f>B18*EXP(RATES!O20)*(1-DATA!$B$6)</f>
        <v>82929.076023361471</v>
      </c>
      <c r="C19">
        <f>C18*EXP(RATES!O20)*(1-DATA!$B$6)</f>
        <v>20732.269005840368</v>
      </c>
      <c r="D19">
        <f t="shared" si="1"/>
        <v>103661.34502920184</v>
      </c>
      <c r="E19">
        <f>E18*(1-'LIFE TABLE MALE'!D79/1000)</f>
        <v>0.75700168217713715</v>
      </c>
      <c r="F19">
        <f t="shared" si="2"/>
        <v>0.26571095270688849</v>
      </c>
      <c r="G19">
        <f t="shared" si="0"/>
        <v>103641.34502920184</v>
      </c>
      <c r="H19">
        <f>MAX(D19,DATA!$B$3)</f>
        <v>103661.34502920184</v>
      </c>
      <c r="I19">
        <f t="shared" si="3"/>
        <v>1690.2808543956999</v>
      </c>
      <c r="J19">
        <f>H19*'LIFE TABLE MALE'!D79/1000*F18*E18</f>
        <v>766.10530520229156</v>
      </c>
      <c r="K19">
        <f>0</f>
        <v>0</v>
      </c>
      <c r="L19" s="43">
        <f>DATA!$B$8*((1+DATA!$B$9)^A18)*F19*E19</f>
        <v>13.806355557622295</v>
      </c>
      <c r="M19">
        <f>B18*EXP(RATES!O20)*(DATA!$B$12)</f>
        <v>1187.1237876554812</v>
      </c>
      <c r="N19">
        <f>C18*EXP(RATES!O20)*(DATA!$B$12)</f>
        <v>296.78094691387031</v>
      </c>
      <c r="O19">
        <f t="shared" si="4"/>
        <v>1483.9047345693516</v>
      </c>
      <c r="P19">
        <f t="shared" si="5"/>
        <v>298.4779970119418</v>
      </c>
      <c r="Q19">
        <f>RATES!G20</f>
        <v>0.66091208289531467</v>
      </c>
      <c r="R19" s="44">
        <f t="shared" si="6"/>
        <v>2768.6705121675554</v>
      </c>
      <c r="S19">
        <f t="shared" si="7"/>
        <v>1829.8477950474967</v>
      </c>
      <c r="T19">
        <f>C18*EXP(RATES!O20)*(DATA!$B$6-DATA!$B$12)</f>
        <v>169.58911252221156</v>
      </c>
      <c r="U19">
        <f>B18*EXP(RATES!O20)*(DATA!$B$6-DATA!$B$12)</f>
        <v>678.35645008884626</v>
      </c>
      <c r="V19">
        <f t="shared" si="8"/>
        <v>847.94556261105777</v>
      </c>
      <c r="W19">
        <f t="shared" si="9"/>
        <v>170.55885543539526</v>
      </c>
      <c r="X19">
        <f>W19*BASE!Q19</f>
        <v>112.72440840204794</v>
      </c>
    </row>
    <row r="20" spans="1:24" x14ac:dyDescent="0.3">
      <c r="A20" s="5">
        <v>18</v>
      </c>
      <c r="B20">
        <f>B19*EXP(RATES!O21)*(1-DATA!$B$6)</f>
        <v>82813.18390319946</v>
      </c>
      <c r="C20">
        <f>C19*EXP(RATES!O21)*(1-DATA!$B$6)</f>
        <v>20703.295975799865</v>
      </c>
      <c r="D20">
        <f t="shared" si="1"/>
        <v>103516.47987899932</v>
      </c>
      <c r="E20">
        <f>E19*(1-'LIFE TABLE MALE'!D80/1000)</f>
        <v>0.72857800254523786</v>
      </c>
      <c r="F20">
        <f t="shared" si="2"/>
        <v>0.24578263125387187</v>
      </c>
      <c r="G20">
        <f t="shared" si="0"/>
        <v>103496.47987899932</v>
      </c>
      <c r="H20">
        <f>MAX(D20,DATA!$B$3)</f>
        <v>103516.47987899932</v>
      </c>
      <c r="I20">
        <f t="shared" si="3"/>
        <v>1502.7002322441249</v>
      </c>
      <c r="J20">
        <f>H20*'LIFE TABLE MALE'!D80/1000*F19*E19</f>
        <v>781.80645392912322</v>
      </c>
      <c r="K20">
        <f>0</f>
        <v>0</v>
      </c>
      <c r="L20" s="43">
        <f>DATA!$B$8*((1+DATA!$B$9)^A19)*F20*E20</f>
        <v>12.537188866438997</v>
      </c>
      <c r="M20">
        <f>B19*EXP(RATES!O21)*(DATA!$B$12)</f>
        <v>1185.464800250299</v>
      </c>
      <c r="N20">
        <f>C19*EXP(RATES!O21)*(DATA!$B$12)</f>
        <v>296.36620006257476</v>
      </c>
      <c r="O20">
        <f t="shared" si="4"/>
        <v>1481.8310003128738</v>
      </c>
      <c r="P20">
        <f t="shared" si="5"/>
        <v>265.35417199387518</v>
      </c>
      <c r="Q20">
        <f>RATES!G21</f>
        <v>0.64727657622441381</v>
      </c>
      <c r="R20" s="44">
        <f t="shared" si="6"/>
        <v>2562.3980470335623</v>
      </c>
      <c r="S20">
        <f t="shared" si="7"/>
        <v>1658.5802348080088</v>
      </c>
      <c r="T20">
        <f>C19*EXP(RATES!O21)*(DATA!$B$6-DATA!$B$12)</f>
        <v>169.35211432147125</v>
      </c>
      <c r="U20">
        <f>B19*EXP(RATES!O21)*(DATA!$B$6-DATA!$B$12)</f>
        <v>677.40845728588499</v>
      </c>
      <c r="V20">
        <f t="shared" si="8"/>
        <v>846.76057160735627</v>
      </c>
      <c r="W20">
        <f t="shared" si="9"/>
        <v>151.63095542507151</v>
      </c>
      <c r="X20">
        <f>W20*BASE!Q20</f>
        <v>98.147165677176986</v>
      </c>
    </row>
    <row r="21" spans="1:24" x14ac:dyDescent="0.3">
      <c r="A21" s="5">
        <v>19</v>
      </c>
      <c r="B21">
        <f>B20*EXP(RATES!O22)*(1-DATA!$B$6)</f>
        <v>82680.449851873433</v>
      </c>
      <c r="C21">
        <f>C20*EXP(RATES!O22)*(1-DATA!$B$6)</f>
        <v>20670.112462968358</v>
      </c>
      <c r="D21">
        <f t="shared" si="1"/>
        <v>103350.56231484179</v>
      </c>
      <c r="E21">
        <f>E20*(1-'LIFE TABLE MALE'!D81/1000)</f>
        <v>0.69834190615291014</v>
      </c>
      <c r="F21">
        <f t="shared" si="2"/>
        <v>0.22734893390983149</v>
      </c>
      <c r="G21">
        <f t="shared" si="0"/>
        <v>103330.56231484179</v>
      </c>
      <c r="H21">
        <f>MAX(D21,DATA!$B$3)</f>
        <v>103350.56231484179</v>
      </c>
      <c r="I21">
        <f t="shared" si="3"/>
        <v>1330.1767404848579</v>
      </c>
      <c r="J21">
        <f>H21*'LIFE TABLE MALE'!D81/1000*F20*E20</f>
        <v>768.05046141807964</v>
      </c>
      <c r="K21">
        <f>0</f>
        <v>0</v>
      </c>
      <c r="L21" s="43">
        <f>DATA!$B$8*((1+DATA!$B$9)^A20)*F21*E21</f>
        <v>11.337939156796901</v>
      </c>
      <c r="M21">
        <f>B20*EXP(RATES!O22)*(DATA!$B$12)</f>
        <v>1183.5647218059592</v>
      </c>
      <c r="N21">
        <f>C20*EXP(RATES!O22)*(DATA!$B$12)</f>
        <v>295.89118045148979</v>
      </c>
      <c r="O21">
        <f t="shared" si="4"/>
        <v>1479.455902257449</v>
      </c>
      <c r="P21">
        <f t="shared" si="5"/>
        <v>234.88920112234695</v>
      </c>
      <c r="Q21">
        <f>RATES!G22</f>
        <v>0.63405275958074025</v>
      </c>
      <c r="R21" s="44">
        <f t="shared" si="6"/>
        <v>2344.4543421820813</v>
      </c>
      <c r="S21">
        <f t="shared" si="7"/>
        <v>1486.5077453715978</v>
      </c>
      <c r="T21">
        <f>C20*EXP(RATES!O22)*(DATA!$B$6-DATA!$B$12)</f>
        <v>169.08067454370843</v>
      </c>
      <c r="U21">
        <f>B20*EXP(RATES!O22)*(DATA!$B$6-DATA!$B$12)</f>
        <v>676.3226981748337</v>
      </c>
      <c r="V21">
        <f t="shared" si="8"/>
        <v>845.40337271854219</v>
      </c>
      <c r="W21">
        <f t="shared" si="9"/>
        <v>134.2224006413411</v>
      </c>
      <c r="X21">
        <f>W21*BASE!Q21</f>
        <v>85.104083524194039</v>
      </c>
    </row>
    <row r="22" spans="1:24" x14ac:dyDescent="0.3">
      <c r="A22" s="6">
        <v>20</v>
      </c>
      <c r="B22">
        <f>B21*EXP(RATES!O23)*(1-DATA!$B$6)</f>
        <v>82630.136364810009</v>
      </c>
      <c r="C22">
        <f>C21*EXP(RATES!O23)*(1-DATA!$B$6)</f>
        <v>20657.534091202502</v>
      </c>
      <c r="D22">
        <f t="shared" si="1"/>
        <v>103287.67045601251</v>
      </c>
      <c r="E22">
        <f>E21*(1-'LIFE TABLE MALE'!D82/1000)</f>
        <v>0.66548978691150162</v>
      </c>
      <c r="F22">
        <f t="shared" si="2"/>
        <v>0.21029776386659413</v>
      </c>
      <c r="G22">
        <f t="shared" si="0"/>
        <v>103267.67045601251</v>
      </c>
      <c r="H22">
        <f>MAX(D22,DATA!$B$3)</f>
        <v>103287.67045601251</v>
      </c>
      <c r="I22">
        <f t="shared" si="3"/>
        <v>1171.8174486728869</v>
      </c>
      <c r="J22">
        <f>H22*'LIFE TABLE MALE'!D82/1000*F21*E21</f>
        <v>771.4446917051522</v>
      </c>
      <c r="K22">
        <f>0</f>
        <v>0</v>
      </c>
      <c r="L22" s="43">
        <f>DATA!$B$8*((1+DATA!$B$9)^A21)*F22*E22</f>
        <v>10.194110044718368</v>
      </c>
      <c r="M22">
        <f>B21*EXP(RATES!O23)*(DATA!$B$12)</f>
        <v>1182.8444878398161</v>
      </c>
      <c r="N22">
        <f>C21*EXP(RATES!O23)*(DATA!$B$12)</f>
        <v>295.71112195995403</v>
      </c>
      <c r="O22">
        <f t="shared" si="4"/>
        <v>1478.5556097997701</v>
      </c>
      <c r="P22">
        <f t="shared" si="5"/>
        <v>206.92535694082102</v>
      </c>
      <c r="Q22">
        <f>RATES!G23</f>
        <v>0.62048117992903407</v>
      </c>
      <c r="R22" s="44">
        <f t="shared" si="6"/>
        <v>2160.3816073635785</v>
      </c>
      <c r="S22">
        <f t="shared" si="7"/>
        <v>1340.4761288339364</v>
      </c>
      <c r="T22">
        <f>C21*EXP(RATES!O23)*(DATA!$B$6-DATA!$B$12)</f>
        <v>168.97778397711653</v>
      </c>
      <c r="U22">
        <f>B21*EXP(RATES!O23)*(DATA!$B$6-DATA!$B$12)</f>
        <v>675.91113590846612</v>
      </c>
      <c r="V22">
        <f t="shared" si="8"/>
        <v>844.88891988558271</v>
      </c>
      <c r="W22">
        <f t="shared" si="9"/>
        <v>118.24306110904055</v>
      </c>
      <c r="X22">
        <f>W22*BASE!Q22</f>
        <v>73.367594075358369</v>
      </c>
    </row>
    <row r="23" spans="1:24" x14ac:dyDescent="0.3">
      <c r="A23" s="5">
        <v>21</v>
      </c>
      <c r="B23">
        <f>B22*EXP(RATES!O24)*(1-DATA!$B$6)</f>
        <v>82662.12593342422</v>
      </c>
      <c r="C23">
        <f>C22*EXP(RATES!O24)*(1-DATA!$B$6)</f>
        <v>20665.531483356055</v>
      </c>
      <c r="D23">
        <f t="shared" si="1"/>
        <v>103327.65741678028</v>
      </c>
      <c r="E23">
        <f>E22*(1-'LIFE TABLE MALE'!D83/1000)</f>
        <v>0.63037147159761586</v>
      </c>
      <c r="F23">
        <f t="shared" si="2"/>
        <v>0.19452543157659957</v>
      </c>
      <c r="G23">
        <f t="shared" si="0"/>
        <v>103307.65741678028</v>
      </c>
      <c r="H23">
        <f>MAX(D23,DATA!$B$3)</f>
        <v>103327.65741678028</v>
      </c>
      <c r="I23">
        <f t="shared" si="3"/>
        <v>1027.1289783778338</v>
      </c>
      <c r="J23">
        <f>H23*'LIFE TABLE MALE'!D83/1000*F22*E22</f>
        <v>763.10607703354424</v>
      </c>
      <c r="K23">
        <f>0</f>
        <v>0</v>
      </c>
      <c r="L23" s="43">
        <f>DATA!$B$8*((1+DATA!$B$9)^A22)*F23*E23</f>
        <v>9.1105873707708902</v>
      </c>
      <c r="M23">
        <f>B22*EXP(RATES!O24)*(DATA!$B$12)</f>
        <v>1183.3024162248867</v>
      </c>
      <c r="N23">
        <f>C22*EXP(RATES!O24)*(DATA!$B$12)</f>
        <v>295.82560405622166</v>
      </c>
      <c r="O23">
        <f t="shared" si="4"/>
        <v>1479.1280202811083</v>
      </c>
      <c r="P23">
        <f t="shared" si="5"/>
        <v>181.37553318236999</v>
      </c>
      <c r="Q23">
        <f>RATES!G24</f>
        <v>0.60659575547952316</v>
      </c>
      <c r="R23" s="44">
        <f t="shared" si="6"/>
        <v>1980.721175964519</v>
      </c>
      <c r="S23">
        <f t="shared" si="7"/>
        <v>1201.497058128487</v>
      </c>
      <c r="T23">
        <f>C22*EXP(RATES!O24)*(DATA!$B$6-DATA!$B$12)</f>
        <v>169.04320231784092</v>
      </c>
      <c r="U23">
        <f>B22*EXP(RATES!O24)*(DATA!$B$6-DATA!$B$12)</f>
        <v>676.17280927136369</v>
      </c>
      <c r="V23">
        <f t="shared" si="8"/>
        <v>845.21601158920464</v>
      </c>
      <c r="W23">
        <f t="shared" si="9"/>
        <v>103.64316181849713</v>
      </c>
      <c r="X23">
        <f>W23*BASE!Q23</f>
        <v>62.869502043577739</v>
      </c>
    </row>
    <row r="24" spans="1:24" x14ac:dyDescent="0.3">
      <c r="A24" s="5">
        <v>22</v>
      </c>
      <c r="B24">
        <f>B23*EXP(RATES!O25)*(1-DATA!$B$6)</f>
        <v>82791.080503122896</v>
      </c>
      <c r="C24">
        <f>C23*EXP(RATES!O25)*(1-DATA!$B$6)</f>
        <v>20697.770125780724</v>
      </c>
      <c r="D24">
        <f t="shared" si="1"/>
        <v>103488.85062890362</v>
      </c>
      <c r="E24">
        <f>E23*(1-'LIFE TABLE MALE'!D84/1000)</f>
        <v>0.59321032950859998</v>
      </c>
      <c r="F24">
        <f t="shared" si="2"/>
        <v>0.17993602420835461</v>
      </c>
      <c r="G24">
        <f t="shared" si="0"/>
        <v>103468.85062890362</v>
      </c>
      <c r="H24">
        <f>MAX(D24,DATA!$B$3)</f>
        <v>103488.85062890362</v>
      </c>
      <c r="I24">
        <f t="shared" si="3"/>
        <v>895.48018531116918</v>
      </c>
      <c r="J24">
        <f>H24*'LIFE TABLE MALE'!D84/1000*F23*E23</f>
        <v>748.09887905302435</v>
      </c>
      <c r="K24">
        <f>0</f>
        <v>0</v>
      </c>
      <c r="L24" s="43">
        <f>DATA!$B$8*((1+DATA!$B$9)^A23)*F24*E24</f>
        <v>8.0891043213162952</v>
      </c>
      <c r="M24">
        <f>B23*EXP(RATES!O25)*(DATA!$B$12)</f>
        <v>1185.148391660246</v>
      </c>
      <c r="N24">
        <f>C23*EXP(RATES!O25)*(DATA!$B$12)</f>
        <v>296.28709791506151</v>
      </c>
      <c r="O24">
        <f t="shared" si="4"/>
        <v>1481.4354895753077</v>
      </c>
      <c r="P24">
        <f t="shared" si="5"/>
        <v>158.12828817794244</v>
      </c>
      <c r="Q24">
        <f>RATES!G25</f>
        <v>0.59232660750473398</v>
      </c>
      <c r="R24" s="44">
        <f t="shared" si="6"/>
        <v>1809.7964568634522</v>
      </c>
      <c r="S24">
        <f t="shared" si="7"/>
        <v>1071.9905955680163</v>
      </c>
      <c r="T24">
        <f>C23*EXP(RATES!O25)*(DATA!$B$6-DATA!$B$12)</f>
        <v>169.30691309432083</v>
      </c>
      <c r="U24">
        <f>B23*EXP(RATES!O25)*(DATA!$B$6-DATA!$B$12)</f>
        <v>677.22765237728333</v>
      </c>
      <c r="V24">
        <f t="shared" si="8"/>
        <v>846.5345654716042</v>
      </c>
      <c r="W24">
        <f t="shared" si="9"/>
        <v>90.359021815967083</v>
      </c>
      <c r="X24">
        <f>W24*BASE!Q24</f>
        <v>53.522052849698028</v>
      </c>
    </row>
    <row r="25" spans="1:24" x14ac:dyDescent="0.3">
      <c r="A25" s="5">
        <v>23</v>
      </c>
      <c r="B25">
        <f>B24*EXP(RATES!O26)*(1-DATA!$B$6)</f>
        <v>82994.7603613877</v>
      </c>
      <c r="C25">
        <f>C24*EXP(RATES!O26)*(1-DATA!$B$6)</f>
        <v>20748.690090346925</v>
      </c>
      <c r="D25">
        <f t="shared" si="1"/>
        <v>103743.45045173462</v>
      </c>
      <c r="E25">
        <f>E24*(1-'LIFE TABLE MALE'!D85/1000)</f>
        <v>0.55421480613968421</v>
      </c>
      <c r="F25">
        <f t="shared" si="2"/>
        <v>0.16644082239272803</v>
      </c>
      <c r="G25">
        <f t="shared" si="0"/>
        <v>103723.45045173462</v>
      </c>
      <c r="H25">
        <f>MAX(D25,DATA!$B$3)</f>
        <v>103743.45045173462</v>
      </c>
      <c r="I25">
        <f t="shared" si="3"/>
        <v>775.7726478132389</v>
      </c>
      <c r="J25">
        <f>H25*'LIFE TABLE MALE'!D85/1000*F24*E24</f>
        <v>727.93661036951687</v>
      </c>
      <c r="K25">
        <f>0</f>
        <v>0</v>
      </c>
      <c r="L25" s="43">
        <f>DATA!$B$8*((1+DATA!$B$9)^A24)*F25*E25</f>
        <v>7.1303649729606402</v>
      </c>
      <c r="M25">
        <f>B24*EXP(RATES!O26)*(DATA!$B$12)</f>
        <v>1188.0640542529939</v>
      </c>
      <c r="N25">
        <f>C24*EXP(RATES!O26)*(DATA!$B$12)</f>
        <v>297.01601356324846</v>
      </c>
      <c r="O25">
        <f t="shared" si="4"/>
        <v>1485.0800678162423</v>
      </c>
      <c r="P25">
        <f t="shared" si="5"/>
        <v>136.98967842551991</v>
      </c>
      <c r="Q25">
        <f>RATES!G26</f>
        <v>0.57787375637469385</v>
      </c>
      <c r="R25" s="44">
        <f t="shared" si="6"/>
        <v>1647.8293015812365</v>
      </c>
      <c r="S25">
        <f t="shared" si="7"/>
        <v>952.23730836903735</v>
      </c>
      <c r="T25">
        <f>C24*EXP(RATES!O26)*(DATA!$B$6-DATA!$B$12)</f>
        <v>169.72343632185621</v>
      </c>
      <c r="U25">
        <f>B24*EXP(RATES!O26)*(DATA!$B$6-DATA!$B$12)</f>
        <v>678.89374528742485</v>
      </c>
      <c r="V25">
        <f t="shared" si="8"/>
        <v>848.61718160928103</v>
      </c>
      <c r="W25">
        <f t="shared" si="9"/>
        <v>78.279816243154215</v>
      </c>
      <c r="X25">
        <f>W25*BASE!Q25</f>
        <v>45.235851460752301</v>
      </c>
    </row>
    <row r="26" spans="1:24" x14ac:dyDescent="0.3">
      <c r="A26" s="5">
        <v>24</v>
      </c>
      <c r="B26">
        <f>B25*EXP(RATES!O27)*(1-DATA!$B$6)</f>
        <v>83283.464922455751</v>
      </c>
      <c r="C26">
        <f>C25*EXP(RATES!O27)*(1-DATA!$B$6)</f>
        <v>20820.866230613938</v>
      </c>
      <c r="D26">
        <f t="shared" si="1"/>
        <v>104104.33115306968</v>
      </c>
      <c r="E26">
        <f>E25*(1-'LIFE TABLE MALE'!D86/1000)</f>
        <v>0.51420915397167088</v>
      </c>
      <c r="F26">
        <f t="shared" si="2"/>
        <v>0.15395776071327344</v>
      </c>
      <c r="G26">
        <f t="shared" si="0"/>
        <v>104084.33115306968</v>
      </c>
      <c r="H26">
        <f>MAX(D26,DATA!$B$3)</f>
        <v>104104.33115306968</v>
      </c>
      <c r="I26">
        <f t="shared" si="3"/>
        <v>668.10739048263929</v>
      </c>
      <c r="J26">
        <f>H26*'LIFE TABLE MALE'!D86/1000*F25*E25</f>
        <v>693.18635597537377</v>
      </c>
      <c r="K26">
        <f>0</f>
        <v>0</v>
      </c>
      <c r="L26" s="43">
        <f>DATA!$B$8*((1+DATA!$B$9)^A25)*F26*E26</f>
        <v>6.241878982314681</v>
      </c>
      <c r="M26">
        <f>B25*EXP(RATES!O27)*(DATA!$B$12)</f>
        <v>1192.1968393807574</v>
      </c>
      <c r="N26">
        <f>C25*EXP(RATES!O27)*(DATA!$B$12)</f>
        <v>298.04920984518935</v>
      </c>
      <c r="O26">
        <f t="shared" si="4"/>
        <v>1490.2460492259468</v>
      </c>
      <c r="P26">
        <f t="shared" si="5"/>
        <v>117.97754878033729</v>
      </c>
      <c r="Q26">
        <f>RATES!G27</f>
        <v>0.56320138825489208</v>
      </c>
      <c r="R26" s="44">
        <f t="shared" si="6"/>
        <v>1485.513174220665</v>
      </c>
      <c r="S26">
        <f t="shared" si="7"/>
        <v>836.64308199200991</v>
      </c>
      <c r="T26">
        <f>C25*EXP(RATES!O27)*(DATA!$B$6-DATA!$B$12)</f>
        <v>170.313834197251</v>
      </c>
      <c r="U26">
        <f>B25*EXP(RATES!O27)*(DATA!$B$6-DATA!$B$12)</f>
        <v>681.25533678900399</v>
      </c>
      <c r="V26">
        <f t="shared" si="8"/>
        <v>851.56917098625502</v>
      </c>
      <c r="W26">
        <f t="shared" si="9"/>
        <v>67.415742160192721</v>
      </c>
      <c r="X26">
        <f>W26*BASE!Q26</f>
        <v>37.9686395748544</v>
      </c>
    </row>
    <row r="27" spans="1:24" x14ac:dyDescent="0.3">
      <c r="A27" s="6">
        <v>25</v>
      </c>
      <c r="B27">
        <f>B26*EXP(RATES!O28)*(1-DATA!$B$6)</f>
        <v>83627.029768984285</v>
      </c>
      <c r="C27">
        <f>C26*EXP(RATES!O28)*(1-DATA!$B$6)</f>
        <v>20906.757442246071</v>
      </c>
      <c r="D27">
        <f t="shared" si="1"/>
        <v>104533.78721123036</v>
      </c>
      <c r="E27">
        <f>E26*(1-'LIFE TABLE MALE'!D87/1000)</f>
        <v>0.47242590134255708</v>
      </c>
      <c r="F27">
        <f t="shared" si="2"/>
        <v>0.14241092865977795</v>
      </c>
      <c r="G27">
        <f t="shared" si="0"/>
        <v>104513.78721123036</v>
      </c>
      <c r="H27">
        <f>MAX(D27,DATA!$B$3)</f>
        <v>104533.78721123036</v>
      </c>
      <c r="I27">
        <f t="shared" si="3"/>
        <v>570.12506503276381</v>
      </c>
      <c r="J27">
        <f>H27*'LIFE TABLE MALE'!D87/1000*F26*E26</f>
        <v>672.45080131979216</v>
      </c>
      <c r="K27">
        <f>0</f>
        <v>0</v>
      </c>
      <c r="L27" s="43">
        <f>DATA!$B$8*((1+DATA!$B$9)^A26)*F27*E27</f>
        <v>5.4106712280583098</v>
      </c>
      <c r="M27">
        <f>B26*EXP(RATES!O28)*(DATA!$B$12)</f>
        <v>1197.1149455682821</v>
      </c>
      <c r="N27">
        <f>C26*EXP(RATES!O28)*(DATA!$B$12)</f>
        <v>299.27873639207053</v>
      </c>
      <c r="O27">
        <f t="shared" si="4"/>
        <v>1496.3936819603528</v>
      </c>
      <c r="P27">
        <f t="shared" si="5"/>
        <v>100.67528892995622</v>
      </c>
      <c r="Q27">
        <f>RATES!G28</f>
        <v>0.54854806158178537</v>
      </c>
      <c r="R27" s="44">
        <f t="shared" si="6"/>
        <v>1348.6618265105706</v>
      </c>
      <c r="S27">
        <f t="shared" si="7"/>
        <v>739.80583066172358</v>
      </c>
      <c r="T27">
        <f>C26*EXP(RATES!O28)*(DATA!$B$6-DATA!$B$12)</f>
        <v>171.01642079546883</v>
      </c>
      <c r="U27">
        <f>B26*EXP(RATES!O28)*(DATA!$B$6-DATA!$B$12)</f>
        <v>684.06568318187533</v>
      </c>
      <c r="V27">
        <f t="shared" si="8"/>
        <v>855.0821039773441</v>
      </c>
      <c r="W27">
        <f t="shared" si="9"/>
        <v>57.528736531403531</v>
      </c>
      <c r="X27">
        <f>W27*BASE!Q27</f>
        <v>31.557276909550652</v>
      </c>
    </row>
    <row r="28" spans="1:24" x14ac:dyDescent="0.3">
      <c r="A28" s="5">
        <v>26</v>
      </c>
      <c r="B28">
        <f>B27*EXP(RATES!O29)*(1-DATA!$B$6)</f>
        <v>84031.033003797333</v>
      </c>
      <c r="C28">
        <f>C27*EXP(RATES!O29)*(1-DATA!$B$6)</f>
        <v>21007.758250949333</v>
      </c>
      <c r="D28">
        <f t="shared" si="1"/>
        <v>105038.79125474667</v>
      </c>
      <c r="E28">
        <f>E27*(1-'LIFE TABLE MALE'!D88/1000)</f>
        <v>0.42866056426106119</v>
      </c>
      <c r="F28">
        <f t="shared" si="2"/>
        <v>0.13173010901029461</v>
      </c>
      <c r="G28">
        <f t="shared" si="0"/>
        <v>105018.79125474667</v>
      </c>
      <c r="H28">
        <f>MAX(D28,DATA!$B$3)</f>
        <v>105038.79125474667</v>
      </c>
      <c r="I28">
        <f t="shared" si="3"/>
        <v>480.82288340887629</v>
      </c>
      <c r="J28">
        <f>H28*'LIFE TABLE MALE'!D88/1000*F27*E27</f>
        <v>654.67131396373372</v>
      </c>
      <c r="K28">
        <f>0</f>
        <v>0</v>
      </c>
      <c r="L28" s="43">
        <f>DATA!$B$8*((1+DATA!$B$9)^A27)*F28*E28</f>
        <v>4.6320461841074358</v>
      </c>
      <c r="M28">
        <f>B27*EXP(RATES!O29)*(DATA!$B$12)</f>
        <v>1202.8982229582439</v>
      </c>
      <c r="N28">
        <f>C27*EXP(RATES!O29)*(DATA!$B$12)</f>
        <v>300.72455573956097</v>
      </c>
      <c r="O28">
        <f t="shared" si="4"/>
        <v>1503.6227786978047</v>
      </c>
      <c r="P28">
        <f t="shared" si="5"/>
        <v>84.905823554260067</v>
      </c>
      <c r="Q28">
        <f>RATES!G29</f>
        <v>0.53390072310461278</v>
      </c>
      <c r="R28" s="44">
        <f t="shared" si="6"/>
        <v>1225.0320671109776</v>
      </c>
      <c r="S28">
        <f t="shared" si="7"/>
        <v>654.04550645688948</v>
      </c>
      <c r="T28">
        <f>C27*EXP(RATES!O29)*(DATA!$B$6-DATA!$B$12)</f>
        <v>171.84260327974911</v>
      </c>
      <c r="U28">
        <f>B27*EXP(RATES!O29)*(DATA!$B$6-DATA!$B$12)</f>
        <v>687.37041311899645</v>
      </c>
      <c r="V28">
        <f t="shared" si="8"/>
        <v>859.21301639874559</v>
      </c>
      <c r="W28">
        <f t="shared" si="9"/>
        <v>48.517613459577184</v>
      </c>
      <c r="X28">
        <f>W28*BASE!Q28</f>
        <v>25.903588909378353</v>
      </c>
    </row>
    <row r="29" spans="1:24" x14ac:dyDescent="0.3">
      <c r="A29" s="5">
        <v>27</v>
      </c>
      <c r="B29">
        <f>B28*EXP(RATES!O30)*(1-DATA!$B$6)</f>
        <v>84501.26690690004</v>
      </c>
      <c r="C29">
        <f>C28*EXP(RATES!O30)*(1-DATA!$B$6)</f>
        <v>21125.31672672501</v>
      </c>
      <c r="D29">
        <f t="shared" si="1"/>
        <v>105626.58363362505</v>
      </c>
      <c r="E29">
        <f>E28*(1-'LIFE TABLE MALE'!D89/1000)</f>
        <v>0.38279328376033767</v>
      </c>
      <c r="F29">
        <f t="shared" si="2"/>
        <v>0.12185035083452252</v>
      </c>
      <c r="G29">
        <f t="shared" si="0"/>
        <v>105606.58363362505</v>
      </c>
      <c r="H29">
        <f>MAX(D29,DATA!$B$3)</f>
        <v>105626.58363362505</v>
      </c>
      <c r="I29">
        <f t="shared" si="3"/>
        <v>399.3940745828283</v>
      </c>
      <c r="J29">
        <f>H29*'LIFE TABLE MALE'!D89/1000*F28*E28</f>
        <v>638.20657747683799</v>
      </c>
      <c r="K29">
        <f>0</f>
        <v>0</v>
      </c>
      <c r="L29" s="43">
        <f>DATA!$B$8*((1+DATA!$B$9)^A28)*F29*E29</f>
        <v>3.9027035497420868</v>
      </c>
      <c r="M29">
        <f>B28*EXP(RATES!O30)*(DATA!$B$12)</f>
        <v>1209.629587624336</v>
      </c>
      <c r="N29">
        <f>C28*EXP(RATES!O30)*(DATA!$B$12)</f>
        <v>302.40739690608399</v>
      </c>
      <c r="O29">
        <f t="shared" si="4"/>
        <v>1512.0369845304199</v>
      </c>
      <c r="P29">
        <f t="shared" si="5"/>
        <v>70.52669092381754</v>
      </c>
      <c r="Q29">
        <f>RATES!G30</f>
        <v>0.51924921182601969</v>
      </c>
      <c r="R29" s="44">
        <f t="shared" si="6"/>
        <v>1112.0300465332259</v>
      </c>
      <c r="S29">
        <f t="shared" si="7"/>
        <v>577.42072518922953</v>
      </c>
      <c r="T29">
        <f>C28*EXP(RATES!O30)*(DATA!$B$6-DATA!$B$12)</f>
        <v>172.80422680347655</v>
      </c>
      <c r="U29">
        <f>B28*EXP(RATES!O30)*(DATA!$B$6-DATA!$B$12)</f>
        <v>691.21690721390621</v>
      </c>
      <c r="V29">
        <f t="shared" si="8"/>
        <v>864.02113401738279</v>
      </c>
      <c r="W29">
        <f t="shared" si="9"/>
        <v>40.300966242181445</v>
      </c>
      <c r="X29">
        <f>W29*BASE!Q29</f>
        <v>20.926244957079742</v>
      </c>
    </row>
    <row r="30" spans="1:24" x14ac:dyDescent="0.3">
      <c r="A30" s="5">
        <v>28</v>
      </c>
      <c r="B30">
        <f>B29*EXP(RATES!O31)*(1-DATA!$B$6)</f>
        <v>85020.543140026202</v>
      </c>
      <c r="C30">
        <f>C29*EXP(RATES!O31)*(1-DATA!$B$6)</f>
        <v>21255.135785006551</v>
      </c>
      <c r="D30">
        <f t="shared" si="1"/>
        <v>106275.67892503276</v>
      </c>
      <c r="E30">
        <f>E29*(1-'LIFE TABLE MALE'!D90/1000)</f>
        <v>0.33599119307109643</v>
      </c>
      <c r="F30">
        <f t="shared" si="2"/>
        <v>0.11271157452193334</v>
      </c>
      <c r="G30">
        <f t="shared" si="0"/>
        <v>106255.67892503276</v>
      </c>
      <c r="H30">
        <f>MAX(D30,DATA!$B$3)</f>
        <v>106275.67892503276</v>
      </c>
      <c r="I30">
        <f t="shared" si="3"/>
        <v>326.26320028957701</v>
      </c>
      <c r="J30">
        <f>H30*'LIFE TABLE MALE'!D90/1000*F29*E29</f>
        <v>606.07437992919984</v>
      </c>
      <c r="K30">
        <f>0</f>
        <v>0</v>
      </c>
      <c r="L30" s="43">
        <f>DATA!$B$8*((1+DATA!$B$9)^A29)*F30*E30</f>
        <v>3.2319977704179843</v>
      </c>
      <c r="M30">
        <f>B29*EXP(RATES!O31)*(DATA!$B$12)</f>
        <v>1217.0629897345264</v>
      </c>
      <c r="N30">
        <f>C29*EXP(RATES!O31)*(DATA!$B$12)</f>
        <v>304.26574743363159</v>
      </c>
      <c r="O30">
        <f t="shared" si="4"/>
        <v>1521.3287371681579</v>
      </c>
      <c r="P30">
        <f t="shared" si="5"/>
        <v>57.612865927394004</v>
      </c>
      <c r="Q30">
        <f>RATES!G31</f>
        <v>0.50472410428806358</v>
      </c>
      <c r="R30" s="44">
        <f t="shared" si="6"/>
        <v>993.18244391658891</v>
      </c>
      <c r="S30">
        <f t="shared" si="7"/>
        <v>501.28311940043028</v>
      </c>
      <c r="T30">
        <f>C29*EXP(RATES!O31)*(DATA!$B$6-DATA!$B$12)</f>
        <v>173.86614139064659</v>
      </c>
      <c r="U30">
        <f>B29*EXP(RATES!O31)*(DATA!$B$6-DATA!$B$12)</f>
        <v>695.46456556258636</v>
      </c>
      <c r="V30">
        <f t="shared" si="8"/>
        <v>869.33070695323295</v>
      </c>
      <c r="W30">
        <f t="shared" si="9"/>
        <v>32.921637672796564</v>
      </c>
      <c r="X30">
        <f>W30*BASE!Q30</f>
        <v>16.616344086098415</v>
      </c>
    </row>
    <row r="31" spans="1:24" x14ac:dyDescent="0.3">
      <c r="A31" s="5">
        <v>29</v>
      </c>
      <c r="B31">
        <f>B30*EXP(RATES!O32)*(1-DATA!$B$6)</f>
        <v>85568.006571671765</v>
      </c>
      <c r="C31">
        <f>C30*EXP(RATES!O32)*(1-DATA!$B$6)</f>
        <v>21392.001642917941</v>
      </c>
      <c r="D31">
        <f t="shared" si="1"/>
        <v>106960.0082145897</v>
      </c>
      <c r="E31">
        <f>E30*(1-'LIFE TABLE MALE'!D91/1000)</f>
        <v>0.28899294993893926</v>
      </c>
      <c r="F31">
        <f t="shared" si="2"/>
        <v>0.10425820643278834</v>
      </c>
      <c r="G31">
        <f t="shared" si="0"/>
        <v>106940.0082145897</v>
      </c>
      <c r="H31">
        <f>MAX(D31,DATA!$B$3)</f>
        <v>106960.0082145897</v>
      </c>
      <c r="I31">
        <f t="shared" si="3"/>
        <v>261.25056680826776</v>
      </c>
      <c r="J31">
        <f>H31*'LIFE TABLE MALE'!D91/1000*F30*E30</f>
        <v>566.59347387671301</v>
      </c>
      <c r="K31">
        <f>0</f>
        <v>0</v>
      </c>
      <c r="L31" s="43">
        <f>DATA!$B$8*((1+DATA!$B$9)^A30)*F31*E31</f>
        <v>2.6228430978102608</v>
      </c>
      <c r="M31">
        <f>B30*EXP(RATES!O32)*(DATA!$B$12)</f>
        <v>1224.8998895740335</v>
      </c>
      <c r="N31">
        <f>C30*EXP(RATES!O32)*(DATA!$B$12)</f>
        <v>306.22497239350838</v>
      </c>
      <c r="O31">
        <f t="shared" si="4"/>
        <v>1531.1248619675418</v>
      </c>
      <c r="P31">
        <f t="shared" si="5"/>
        <v>46.13261851106131</v>
      </c>
      <c r="Q31">
        <f>RATES!G32</f>
        <v>0.49046199601095725</v>
      </c>
      <c r="R31" s="45">
        <f t="shared" si="6"/>
        <v>876.59950229385231</v>
      </c>
      <c r="S31">
        <f t="shared" si="7"/>
        <v>429.93874159725448</v>
      </c>
      <c r="T31">
        <f>C30*EXP(RATES!O32)*(DATA!$B$6-DATA!$B$12)</f>
        <v>174.98569851057619</v>
      </c>
      <c r="U31">
        <f>B30*EXP(RATES!O32)*(DATA!$B$6-DATA!$B$12)</f>
        <v>699.94279404230474</v>
      </c>
      <c r="V31">
        <f t="shared" si="8"/>
        <v>874.92849255288093</v>
      </c>
      <c r="W31">
        <f t="shared" si="9"/>
        <v>26.361496292035032</v>
      </c>
      <c r="X31">
        <f>W31*BASE!Q31</f>
        <v>12.929312089226951</v>
      </c>
    </row>
    <row r="32" spans="1:24" x14ac:dyDescent="0.3">
      <c r="A32" s="6">
        <v>30</v>
      </c>
      <c r="B32">
        <f>B31*EXP(RATES!O33)*(1-DATA!$B$6)</f>
        <v>86144.154157072146</v>
      </c>
      <c r="C32">
        <f>C31*EXP(RATES!O33)*(1-DATA!$B$6)</f>
        <v>21536.038539268036</v>
      </c>
      <c r="D32">
        <f t="shared" si="1"/>
        <v>107680.19269634018</v>
      </c>
      <c r="E32">
        <f>E31*(1-'LIFE TABLE MALE'!D92/1000)</f>
        <v>0.24274450939213651</v>
      </c>
      <c r="F32">
        <f t="shared" si="2"/>
        <v>9.6438840950329216E-2</v>
      </c>
      <c r="G32">
        <f t="shared" si="0"/>
        <v>107660.19269634018</v>
      </c>
      <c r="H32">
        <f>MAX(D32,DATA!$B$3)</f>
        <v>107680.19269634018</v>
      </c>
      <c r="I32">
        <f t="shared" si="3"/>
        <v>204.35067710773453</v>
      </c>
      <c r="J32">
        <f>H32*'LIFE TABLE MALE'!D92/1000*F31*E31</f>
        <v>519.21014157759885</v>
      </c>
      <c r="K32">
        <f>0</f>
        <v>0</v>
      </c>
      <c r="L32" s="43">
        <f>DATA!$B$8*((1+DATA!$B$9)^A31)*F32*E32</f>
        <v>2.0786261329955016</v>
      </c>
      <c r="M32">
        <f>B31*EXP(RATES!O33)*(DATA!$B$12)</f>
        <v>1233.1474010214827</v>
      </c>
      <c r="N32">
        <f>C31*EXP(RATES!O33)*(DATA!$B$12)</f>
        <v>308.28685025537067</v>
      </c>
      <c r="O32">
        <f t="shared" si="4"/>
        <v>1541.4342512768533</v>
      </c>
      <c r="P32">
        <f t="shared" si="5"/>
        <v>36.084974485711683</v>
      </c>
      <c r="Q32">
        <f>RATES!G33</f>
        <v>0.47646370067584165</v>
      </c>
      <c r="R32" s="45">
        <f t="shared" si="6"/>
        <v>761.72441930404057</v>
      </c>
      <c r="S32">
        <f t="shared" si="7"/>
        <v>362.93403571675969</v>
      </c>
      <c r="T32">
        <f>C31*EXP(RATES!O33)*(DATA!$B$6-DATA!$B$12)</f>
        <v>176.16391443164034</v>
      </c>
      <c r="U32">
        <f>B31*EXP(RATES!O33)*(DATA!$B$6-DATA!$B$12)</f>
        <v>704.65565772656134</v>
      </c>
      <c r="V32">
        <f t="shared" si="8"/>
        <v>880.81957215820171</v>
      </c>
      <c r="W32">
        <f t="shared" si="9"/>
        <v>20.619985420406671</v>
      </c>
      <c r="X32">
        <f>W32*BASE!Q32</f>
        <v>9.8246745612888624</v>
      </c>
    </row>
    <row r="33" spans="1:24" x14ac:dyDescent="0.3">
      <c r="A33" s="5">
        <v>31</v>
      </c>
      <c r="B33">
        <f>B32*EXP(RATES!O34)*(1-DATA!$B$6)</f>
        <v>86775.747166721878</v>
      </c>
      <c r="C33">
        <f>C32*EXP(RATES!O34)*(1-DATA!$B$6)</f>
        <v>21693.936791680469</v>
      </c>
      <c r="D33">
        <f t="shared" si="1"/>
        <v>108469.68395840234</v>
      </c>
      <c r="E33">
        <f>E32*(1-'LIFE TABLE MALE'!D93/1000)</f>
        <v>0.1988663322971663</v>
      </c>
      <c r="F33">
        <f t="shared" si="2"/>
        <v>8.9205927879054528E-2</v>
      </c>
      <c r="G33">
        <f t="shared" si="0"/>
        <v>108449.68395840234</v>
      </c>
      <c r="H33">
        <f>MAX(D33,DATA!$B$3)</f>
        <v>108469.68395840234</v>
      </c>
      <c r="I33">
        <f t="shared" si="3"/>
        <v>155.99217029894299</v>
      </c>
      <c r="J33">
        <f>H33*'LIFE TABLE MALE'!D93/1000*F32*E32</f>
        <v>458.99603464724885</v>
      </c>
      <c r="K33">
        <f>0</f>
        <v>0</v>
      </c>
      <c r="L33" s="43">
        <f>DATA!$B$8*((1+DATA!$B$9)^A32)*F33*E33</f>
        <v>1.6066827694222627</v>
      </c>
      <c r="M33">
        <f>B32*EXP(RATES!O34)*(DATA!$B$12)</f>
        <v>1242.1886097485749</v>
      </c>
      <c r="N33">
        <f>C32*EXP(RATES!O34)*(DATA!$B$12)</f>
        <v>310.54715243714372</v>
      </c>
      <c r="O33">
        <f t="shared" si="4"/>
        <v>1552.7357621857186</v>
      </c>
      <c r="P33">
        <f t="shared" si="5"/>
        <v>27.545618903080275</v>
      </c>
      <c r="Q33">
        <f>RATES!G34</f>
        <v>0.46258987582736705</v>
      </c>
      <c r="R33" s="45">
        <f t="shared" si="6"/>
        <v>644.14050661869442</v>
      </c>
      <c r="S33">
        <f t="shared" si="7"/>
        <v>297.97287697211914</v>
      </c>
      <c r="T33">
        <f>C32*EXP(RATES!O34)*(DATA!$B$6-DATA!$B$12)</f>
        <v>177.45551567836782</v>
      </c>
      <c r="U33">
        <f>B32*EXP(RATES!O34)*(DATA!$B$6-DATA!$B$12)</f>
        <v>709.82206271347127</v>
      </c>
      <c r="V33">
        <f t="shared" si="8"/>
        <v>887.27757839183914</v>
      </c>
      <c r="W33">
        <f t="shared" si="9"/>
        <v>15.740353658903011</v>
      </c>
      <c r="X33">
        <f>W33*BASE!Q33</f>
        <v>7.2813282445507861</v>
      </c>
    </row>
    <row r="34" spans="1:24" x14ac:dyDescent="0.3">
      <c r="A34" s="5">
        <v>32</v>
      </c>
      <c r="B34">
        <f>B33*EXP(RATES!O35)*(1-DATA!$B$6)</f>
        <v>87439.193933082599</v>
      </c>
      <c r="C34">
        <f>C33*EXP(RATES!O35)*(1-DATA!$B$6)</f>
        <v>21859.79848327065</v>
      </c>
      <c r="D34">
        <f t="shared" si="1"/>
        <v>109298.99241635326</v>
      </c>
      <c r="E34">
        <f>E33*(1-'LIFE TABLE MALE'!D94/1000)</f>
        <v>0.1590545553724837</v>
      </c>
      <c r="F34">
        <f t="shared" si="2"/>
        <v>8.2515483288125441E-2</v>
      </c>
      <c r="G34">
        <f t="shared" si="0"/>
        <v>109278.99241635326</v>
      </c>
      <c r="H34">
        <f>MAX(D34,DATA!$B$3)</f>
        <v>109298.99241635326</v>
      </c>
      <c r="I34">
        <f t="shared" si="3"/>
        <v>116.28876874964527</v>
      </c>
      <c r="J34">
        <f>H34*'LIFE TABLE MALE'!D94/1000*F33*E33</f>
        <v>388.1695241886539</v>
      </c>
      <c r="K34">
        <f>0</f>
        <v>0</v>
      </c>
      <c r="L34" s="43">
        <f>DATA!$B$8*((1+DATA!$B$9)^A33)*F34*E34</f>
        <v>1.2124305993193087</v>
      </c>
      <c r="M34">
        <f>B33*EXP(RATES!O35)*(DATA!$B$12)</f>
        <v>1251.6858027230637</v>
      </c>
      <c r="N34">
        <f>C33*EXP(RATES!O35)*(DATA!$B$12)</f>
        <v>312.92145068076593</v>
      </c>
      <c r="O34">
        <f t="shared" si="4"/>
        <v>1564.6072534038296</v>
      </c>
      <c r="P34">
        <f t="shared" si="5"/>
        <v>20.534630798112158</v>
      </c>
      <c r="Q34">
        <f>RATES!G35</f>
        <v>0.44898020595178956</v>
      </c>
      <c r="R34" s="45">
        <f t="shared" si="6"/>
        <v>526.20535433573059</v>
      </c>
      <c r="S34">
        <f t="shared" si="7"/>
        <v>236.25578836259072</v>
      </c>
      <c r="T34">
        <f>C33*EXP(RATES!O35)*(DATA!$B$6-DATA!$B$12)</f>
        <v>178.81225753186621</v>
      </c>
      <c r="U34">
        <f>B33*EXP(RATES!O35)*(DATA!$B$6-DATA!$B$12)</f>
        <v>715.24903012746483</v>
      </c>
      <c r="V34">
        <f t="shared" si="8"/>
        <v>894.06128765933101</v>
      </c>
      <c r="W34">
        <f t="shared" si="9"/>
        <v>11.734074741778374</v>
      </c>
      <c r="X34">
        <f>W34*BASE!Q34</f>
        <v>5.2683672942173461</v>
      </c>
    </row>
    <row r="35" spans="1:24" x14ac:dyDescent="0.3">
      <c r="A35" s="5">
        <v>33</v>
      </c>
      <c r="B35">
        <f>B34*EXP(RATES!O36)*(1-DATA!$B$6)</f>
        <v>88135.146395904914</v>
      </c>
      <c r="C35">
        <f>C34*EXP(RATES!O36)*(1-DATA!$B$6)</f>
        <v>22033.786598976229</v>
      </c>
      <c r="D35">
        <f t="shared" si="1"/>
        <v>110168.93299488115</v>
      </c>
      <c r="E35">
        <f>E34*(1-'LIFE TABLE MALE'!D95/1000)</f>
        <v>0.12331571729742245</v>
      </c>
      <c r="F35">
        <f t="shared" si="2"/>
        <v>7.6326822041516043E-2</v>
      </c>
      <c r="G35">
        <f t="shared" si="0"/>
        <v>110148.93299488115</v>
      </c>
      <c r="H35">
        <f>MAX(D35,DATA!$B$3)</f>
        <v>110168.93299488115</v>
      </c>
      <c r="I35">
        <f t="shared" si="3"/>
        <v>84.061171666340755</v>
      </c>
      <c r="J35">
        <f>H35*'LIFE TABLE MALE'!D95/1000*F34*E34</f>
        <v>324.88900921938387</v>
      </c>
      <c r="K35">
        <f>0</f>
        <v>0</v>
      </c>
      <c r="L35" s="43">
        <f>DATA!$B$8*((1+DATA!$B$9)^A34)*F35*E35</f>
        <v>0.88689277008097289</v>
      </c>
      <c r="M35">
        <f>B34*EXP(RATES!O36)*(DATA!$B$12)</f>
        <v>1261.6483124158169</v>
      </c>
      <c r="N35">
        <f>C34*EXP(RATES!O36)*(DATA!$B$12)</f>
        <v>315.41207810395423</v>
      </c>
      <c r="O35">
        <f t="shared" si="4"/>
        <v>1577.0603905197711</v>
      </c>
      <c r="P35">
        <f t="shared" si="5"/>
        <v>14.843760481419272</v>
      </c>
      <c r="Q35">
        <f>RATES!G36</f>
        <v>0.43563530089638008</v>
      </c>
      <c r="R35" s="45">
        <f t="shared" si="6"/>
        <v>424.68083413722491</v>
      </c>
      <c r="S35">
        <f t="shared" si="7"/>
        <v>185.00596296429566</v>
      </c>
      <c r="T35">
        <f>C34*EXP(RATES!O36)*(DATA!$B$6-DATA!$B$12)</f>
        <v>180.2354732022595</v>
      </c>
      <c r="U35">
        <f>B34*EXP(RATES!O36)*(DATA!$B$6-DATA!$B$12)</f>
        <v>720.94189280903799</v>
      </c>
      <c r="V35">
        <f t="shared" si="8"/>
        <v>901.17736601129752</v>
      </c>
      <c r="W35">
        <f t="shared" si="9"/>
        <v>8.4821488465252965</v>
      </c>
      <c r="X35">
        <f>W35*BASE!Q35</f>
        <v>3.6951234650039306</v>
      </c>
    </row>
    <row r="36" spans="1:24" x14ac:dyDescent="0.3">
      <c r="A36" s="5">
        <v>34</v>
      </c>
      <c r="B36">
        <f>B35*EXP(RATES!O37)*(1-DATA!$B$6)</f>
        <v>88864.291917679613</v>
      </c>
      <c r="C36">
        <f>C35*EXP(RATES!O37)*(1-DATA!$B$6)</f>
        <v>22216.072979419903</v>
      </c>
      <c r="D36">
        <f t="shared" si="1"/>
        <v>111080.36489709951</v>
      </c>
      <c r="E36">
        <f>E35*(1-'LIFE TABLE MALE'!D96/1000)</f>
        <v>9.2980118665901043E-2</v>
      </c>
      <c r="F36">
        <f t="shared" si="2"/>
        <v>7.060231038840234E-2</v>
      </c>
      <c r="G36">
        <f t="shared" si="0"/>
        <v>111060.36489709951</v>
      </c>
      <c r="H36">
        <f>MAX(D36,DATA!$B$3)</f>
        <v>111080.36489709951</v>
      </c>
      <c r="I36">
        <f t="shared" si="3"/>
        <v>59.113630950609156</v>
      </c>
      <c r="J36">
        <f>H36*'LIFE TABLE MALE'!D96/1000*F35*E35</f>
        <v>257.19768052512495</v>
      </c>
      <c r="K36">
        <f>0</f>
        <v>0</v>
      </c>
      <c r="L36" s="43">
        <f>DATA!$B$8*((1+DATA!$B$9)^A35)*F36*E36</f>
        <v>0.63093508997366476</v>
      </c>
      <c r="M36">
        <f>B35*EXP(RATES!O37)*(DATA!$B$12)</f>
        <v>1272.0859783716919</v>
      </c>
      <c r="N36">
        <f>C35*EXP(RATES!O37)*(DATA!$B$12)</f>
        <v>318.02149459292298</v>
      </c>
      <c r="O36">
        <f t="shared" si="4"/>
        <v>1590.1074729646148</v>
      </c>
      <c r="P36">
        <f t="shared" si="5"/>
        <v>10.438437323047671</v>
      </c>
      <c r="Q36">
        <f>RATES!G37</f>
        <v>0.42255550600771669</v>
      </c>
      <c r="R36" s="45">
        <f t="shared" si="6"/>
        <v>327.38068388875541</v>
      </c>
      <c r="S36">
        <f t="shared" si="7"/>
        <v>138.33651053776538</v>
      </c>
      <c r="T36">
        <f>C35*EXP(RATES!O37)*(DATA!$B$6-DATA!$B$12)</f>
        <v>181.72656833881308</v>
      </c>
      <c r="U36">
        <f>B35*EXP(RATES!O37)*(DATA!$B$6-DATA!$B$12)</f>
        <v>726.90627335525232</v>
      </c>
      <c r="V36">
        <f t="shared" si="8"/>
        <v>908.63284169406541</v>
      </c>
      <c r="W36">
        <f t="shared" si="9"/>
        <v>5.9648213274558115</v>
      </c>
      <c r="X36">
        <f>W36*BASE!Q36</f>
        <v>2.5204680942687108</v>
      </c>
    </row>
    <row r="37" spans="1:24" x14ac:dyDescent="0.3">
      <c r="A37" s="6">
        <v>35</v>
      </c>
      <c r="B37">
        <f>B36*EXP(RATES!O38)*(1-DATA!$B$6)</f>
        <v>89596.779479446108</v>
      </c>
      <c r="C37">
        <f>C36*EXP(RATES!O38)*(1-DATA!$B$6)</f>
        <v>22399.194869861527</v>
      </c>
      <c r="D37">
        <f t="shared" si="1"/>
        <v>111995.97434930764</v>
      </c>
      <c r="E37">
        <f>E36*(1-'LIFE TABLE MALE'!D97/1000)</f>
        <v>6.7353135477056972E-2</v>
      </c>
      <c r="F37">
        <f t="shared" si="2"/>
        <v>6.5307137109272162E-2</v>
      </c>
      <c r="G37">
        <f t="shared" si="0"/>
        <v>111975.97434930764</v>
      </c>
      <c r="H37">
        <f>MAX(D37,DATA!$B$3)</f>
        <v>111995.97434930764</v>
      </c>
      <c r="I37">
        <f t="shared" si="3"/>
        <v>39.93584193851153</v>
      </c>
      <c r="J37">
        <f>H37*'LIFE TABLE MALE'!D97/1000*F36*E36</f>
        <v>202.63702909141483</v>
      </c>
      <c r="K37">
        <f>0</f>
        <v>0</v>
      </c>
      <c r="L37" s="43">
        <f>DATA!$B$8*((1+DATA!$B$9)^A36)*F37*E37</f>
        <v>0.43121544551726448</v>
      </c>
      <c r="M37">
        <f>B36*EXP(RATES!O38)*(DATA!$B$12)</f>
        <v>1282.5714853908441</v>
      </c>
      <c r="N37">
        <f>C36*EXP(RATES!O38)*(DATA!$B$12)</f>
        <v>320.64287134771104</v>
      </c>
      <c r="O37">
        <f t="shared" si="4"/>
        <v>1603.2143567385551</v>
      </c>
      <c r="P37">
        <f t="shared" si="5"/>
        <v>7.0519635249249415</v>
      </c>
      <c r="Q37">
        <f>RATES!G38</f>
        <v>0.40988073390848567</v>
      </c>
      <c r="R37" s="45">
        <f t="shared" si="6"/>
        <v>250.05605000036854</v>
      </c>
      <c r="S37">
        <f t="shared" si="7"/>
        <v>102.49315729240804</v>
      </c>
      <c r="T37">
        <f>C36*EXP(RATES!O38)*(DATA!$B$6-DATA!$B$12)</f>
        <v>183.22449791297771</v>
      </c>
      <c r="U37">
        <f>B36*EXP(RATES!O38)*(DATA!$B$6-DATA!$B$12)</f>
        <v>732.89799165191084</v>
      </c>
      <c r="V37">
        <f t="shared" si="8"/>
        <v>916.12248956488861</v>
      </c>
      <c r="W37">
        <f t="shared" si="9"/>
        <v>4.0296934428142519</v>
      </c>
      <c r="X37">
        <f>W37*BASE!Q37</f>
        <v>1.6516937057669179</v>
      </c>
    </row>
    <row r="38" spans="1:24" x14ac:dyDescent="0.3">
      <c r="A38" s="5">
        <v>36</v>
      </c>
      <c r="B38">
        <f>B37*EXP(RATES!O39)*(1-DATA!$B$6)</f>
        <v>90361.659728555722</v>
      </c>
      <c r="C38">
        <f>C37*EXP(RATES!O39)*(1-DATA!$B$6)</f>
        <v>22590.41493213893</v>
      </c>
      <c r="D38">
        <f t="shared" si="1"/>
        <v>112952.07466069465</v>
      </c>
      <c r="E38">
        <f>E37*(1-'LIFE TABLE MALE'!D98/1000)</f>
        <v>4.6772681765307828E-2</v>
      </c>
      <c r="F38">
        <f t="shared" si="2"/>
        <v>6.0409101826076755E-2</v>
      </c>
      <c r="G38">
        <f t="shared" si="0"/>
        <v>112932.07466069465</v>
      </c>
      <c r="H38">
        <f>MAX(D38,DATA!$B$3)</f>
        <v>112952.07466069465</v>
      </c>
      <c r="I38">
        <f t="shared" si="3"/>
        <v>25.872088445741102</v>
      </c>
      <c r="J38">
        <f>H38*'LIFE TABLE MALE'!D98/1000*F37*E37</f>
        <v>151.81329381579135</v>
      </c>
      <c r="K38">
        <f>0</f>
        <v>0</v>
      </c>
      <c r="L38" s="43">
        <f>DATA!$B$8*((1+DATA!$B$9)^A37)*F38*E38</f>
        <v>0.28253396612007609</v>
      </c>
      <c r="M38">
        <f>B37*EXP(RATES!O39)*(DATA!$B$12)</f>
        <v>1293.520691410818</v>
      </c>
      <c r="N38">
        <f>C37*EXP(RATES!O39)*(DATA!$B$12)</f>
        <v>323.3801728527045</v>
      </c>
      <c r="O38">
        <f t="shared" si="4"/>
        <v>1616.9008642635226</v>
      </c>
      <c r="P38">
        <f t="shared" si="5"/>
        <v>4.5685464319284472</v>
      </c>
      <c r="Q38">
        <f>RATES!G39</f>
        <v>0.39747018785099719</v>
      </c>
      <c r="R38" s="46">
        <f t="shared" si="6"/>
        <v>182.53646265958099</v>
      </c>
      <c r="S38">
        <f t="shared" si="7"/>
        <v>72.552802102960186</v>
      </c>
      <c r="T38">
        <f>C37*EXP(RATES!O39)*(DATA!$B$6-DATA!$B$12)</f>
        <v>184.78867020154539</v>
      </c>
      <c r="U38">
        <f>B37*EXP(RATES!O39)*(DATA!$B$6-DATA!$B$12)</f>
        <v>739.15468080618155</v>
      </c>
      <c r="V38">
        <f t="shared" si="8"/>
        <v>923.94335100772696</v>
      </c>
      <c r="W38">
        <f t="shared" si="9"/>
        <v>2.610597961101969</v>
      </c>
      <c r="X38">
        <f>W38*BASE!Q38</f>
        <v>1.0376348620026299</v>
      </c>
    </row>
    <row r="39" spans="1:24" x14ac:dyDescent="0.3">
      <c r="A39" s="5">
        <v>37</v>
      </c>
      <c r="B39">
        <f>B38*EXP(RATES!O40)*(1-DATA!$B$6)</f>
        <v>91159.651578764926</v>
      </c>
      <c r="C39">
        <f>C38*EXP(RATES!O40)*(1-DATA!$B$6)</f>
        <v>22789.912894691231</v>
      </c>
      <c r="D39">
        <f t="shared" si="1"/>
        <v>113949.56447345615</v>
      </c>
      <c r="E39">
        <f>E38*(1-'LIFE TABLE MALE'!D99/1000)</f>
        <v>3.1217167791388403E-2</v>
      </c>
      <c r="F39">
        <f t="shared" si="2"/>
        <v>5.5878419189121002E-2</v>
      </c>
      <c r="G39">
        <f t="shared" si="0"/>
        <v>113929.56447345615</v>
      </c>
      <c r="H39">
        <f>MAX(D39,DATA!$B$3)</f>
        <v>113949.56447345615</v>
      </c>
      <c r="I39">
        <f t="shared" si="3"/>
        <v>16.113637075623355</v>
      </c>
      <c r="J39">
        <f>H39*'LIFE TABLE MALE'!D99/1000*F38*E38</f>
        <v>107.07779355391641</v>
      </c>
      <c r="K39">
        <f>0</f>
        <v>0</v>
      </c>
      <c r="L39" s="43">
        <f>DATA!$B$8*((1+DATA!$B$9)^A38)*F39*E39</f>
        <v>0.17791550506038983</v>
      </c>
      <c r="M39">
        <f>B38*EXP(RATES!O40)*(DATA!$B$12)</f>
        <v>1304.9438876305819</v>
      </c>
      <c r="N39">
        <f>C38*EXP(RATES!O40)*(DATA!$B$12)</f>
        <v>326.23597190764548</v>
      </c>
      <c r="O39">
        <f t="shared" si="4"/>
        <v>1631.1798595382274</v>
      </c>
      <c r="P39">
        <f t="shared" si="5"/>
        <v>2.8453746668720541</v>
      </c>
      <c r="Q39">
        <f>RATES!G40</f>
        <v>0.38532302185706108</v>
      </c>
      <c r="R39" s="46">
        <f t="shared" si="6"/>
        <v>126.21472080147221</v>
      </c>
      <c r="S39">
        <f t="shared" si="7"/>
        <v>48.633437622068541</v>
      </c>
      <c r="T39">
        <f>C38*EXP(RATES!O40)*(DATA!$B$6-DATA!$B$12)</f>
        <v>186.42055537579736</v>
      </c>
      <c r="U39">
        <f>B38*EXP(RATES!O40)*(DATA!$B$6-DATA!$B$12)</f>
        <v>745.68222150318945</v>
      </c>
      <c r="V39">
        <f t="shared" si="8"/>
        <v>932.10277687898679</v>
      </c>
      <c r="W39">
        <f t="shared" si="9"/>
        <v>1.6259283810697447</v>
      </c>
      <c r="X39">
        <f>W39*BASE!Q39</f>
        <v>0.62650763711695312</v>
      </c>
    </row>
    <row r="40" spans="1:24" x14ac:dyDescent="0.3">
      <c r="A40" s="5">
        <v>38</v>
      </c>
      <c r="B40">
        <f>B39*EXP(RATES!O41)*(1-DATA!$B$6)</f>
        <v>91991.509139589645</v>
      </c>
      <c r="C40">
        <f>C39*EXP(RATES!O41)*(1-DATA!$B$6)</f>
        <v>22997.877284897411</v>
      </c>
      <c r="D40">
        <f t="shared" si="1"/>
        <v>114989.38642448705</v>
      </c>
      <c r="E40">
        <f>E39*(1-'LIFE TABLE MALE'!D100/1000)</f>
        <v>2.0085822836336076E-2</v>
      </c>
      <c r="F40">
        <f t="shared" si="2"/>
        <v>5.1687537749936931E-2</v>
      </c>
      <c r="G40">
        <f t="shared" si="0"/>
        <v>114969.38642448705</v>
      </c>
      <c r="H40">
        <f>MAX(D40,DATA!$B$3)</f>
        <v>114989.38642448705</v>
      </c>
      <c r="I40">
        <f t="shared" si="3"/>
        <v>9.6778127750923666</v>
      </c>
      <c r="J40">
        <f>H40*'LIFE TABLE MALE'!D100/1000*F39*E39</f>
        <v>71.523623682002167</v>
      </c>
      <c r="K40">
        <f>0</f>
        <v>0</v>
      </c>
      <c r="L40" s="43">
        <f>DATA!$B$8*((1+DATA!$B$9)^A39)*F40*E40</f>
        <v>0.10800698211136964</v>
      </c>
      <c r="M40">
        <f>B39*EXP(RATES!O41)*(DATA!$B$12)</f>
        <v>1316.8518690738806</v>
      </c>
      <c r="N40">
        <f>C39*EXP(RATES!O41)*(DATA!$B$12)</f>
        <v>329.21296726847015</v>
      </c>
      <c r="O40">
        <f t="shared" si="4"/>
        <v>1646.0648363423506</v>
      </c>
      <c r="P40">
        <f t="shared" si="5"/>
        <v>1.7089226633768793</v>
      </c>
      <c r="Q40">
        <f>RATES!G41</f>
        <v>0.37343818647922755</v>
      </c>
      <c r="R40" s="46">
        <f t="shared" si="6"/>
        <v>83.018366102582775</v>
      </c>
      <c r="S40">
        <f t="shared" si="7"/>
        <v>31.002228081817091</v>
      </c>
      <c r="T40">
        <f>C39*EXP(RATES!O41)*(DATA!$B$6-DATA!$B$12)</f>
        <v>188.12169558198289</v>
      </c>
      <c r="U40">
        <f>B39*EXP(RATES!O41)*(DATA!$B$6-DATA!$B$12)</f>
        <v>752.48678232793156</v>
      </c>
      <c r="V40">
        <f t="shared" si="8"/>
        <v>940.60847790991443</v>
      </c>
      <c r="W40">
        <f t="shared" si="9"/>
        <v>0.97652723621535942</v>
      </c>
      <c r="X40">
        <f>W40*BASE!Q40</f>
        <v>0.36467256013983607</v>
      </c>
    </row>
    <row r="41" spans="1:24" x14ac:dyDescent="0.3">
      <c r="A41" s="5">
        <v>39</v>
      </c>
      <c r="B41">
        <f>B40*EXP(RATES!O42)*(1-DATA!$B$6)</f>
        <v>92822.74661856427</v>
      </c>
      <c r="C41">
        <f>C40*EXP(RATES!O42)*(1-DATA!$B$6)</f>
        <v>23205.686654641067</v>
      </c>
      <c r="D41">
        <f t="shared" si="1"/>
        <v>116028.43327320533</v>
      </c>
      <c r="E41">
        <f>E40*(1-'LIFE TABLE MALE'!D101/1000)</f>
        <v>1.2471630665793342E-2</v>
      </c>
      <c r="F41">
        <f t="shared" si="2"/>
        <v>4.7810972418691665E-2</v>
      </c>
      <c r="G41">
        <f t="shared" si="0"/>
        <v>116008.43327320533</v>
      </c>
      <c r="H41">
        <f>MAX(D41,DATA!$B$3)</f>
        <v>116028.43327320533</v>
      </c>
      <c r="I41">
        <f t="shared" si="3"/>
        <v>5.6086702875483585</v>
      </c>
      <c r="J41">
        <f>H41*'LIFE TABLE MALE'!D101/1000*F40*E40</f>
        <v>45.664016215192781</v>
      </c>
      <c r="K41">
        <f>0</f>
        <v>0</v>
      </c>
      <c r="L41" s="43">
        <f>DATA!$B$8*((1+DATA!$B$9)^A40)*F41*E41</f>
        <v>6.3274300003950248E-2</v>
      </c>
      <c r="M41">
        <f>B40*EXP(RATES!O42)*(DATA!$B$12)</f>
        <v>1328.7509740898772</v>
      </c>
      <c r="N41">
        <f>C40*EXP(RATES!O42)*(DATA!$B$12)</f>
        <v>332.1877435224693</v>
      </c>
      <c r="O41">
        <f t="shared" si="4"/>
        <v>1660.9387176123464</v>
      </c>
      <c r="P41">
        <f t="shared" si="5"/>
        <v>0.99038585031133741</v>
      </c>
      <c r="Q41">
        <f>RATES!G42</f>
        <v>0.36195193998143993</v>
      </c>
      <c r="R41" s="46">
        <f t="shared" si="6"/>
        <v>52.326346653056426</v>
      </c>
      <c r="S41">
        <f t="shared" si="7"/>
        <v>18.939622683215099</v>
      </c>
      <c r="T41">
        <f>C40*EXP(RATES!O42)*(DATA!$B$6-DATA!$B$12)</f>
        <v>189.82156772712528</v>
      </c>
      <c r="U41">
        <f>B40*EXP(RATES!O42)*(DATA!$B$6-DATA!$B$12)</f>
        <v>759.28627090850114</v>
      </c>
      <c r="V41">
        <f t="shared" si="8"/>
        <v>949.10783863562642</v>
      </c>
      <c r="W41">
        <f t="shared" si="9"/>
        <v>0.56593477160647843</v>
      </c>
      <c r="X41">
        <f>W41*BASE!Q41</f>
        <v>0.20484118848591798</v>
      </c>
    </row>
    <row r="42" spans="1:24" x14ac:dyDescent="0.3">
      <c r="A42" s="6">
        <v>40</v>
      </c>
      <c r="B42">
        <f>B41*EXP(RATES!O43)*(1-DATA!$B$6)</f>
        <v>93686.981367791916</v>
      </c>
      <c r="C42">
        <f>C41*EXP(RATES!O43)*(1-DATA!$B$6)</f>
        <v>23421.745341947979</v>
      </c>
      <c r="D42">
        <f t="shared" si="1"/>
        <v>117108.72670973989</v>
      </c>
      <c r="E42">
        <f>E41*(1-'LIFE TABLE MALE'!D102/1000)</f>
        <v>7.4516144932450555E-3</v>
      </c>
      <c r="F42">
        <f t="shared" si="2"/>
        <v>4.422514948728979E-2</v>
      </c>
      <c r="G42">
        <f t="shared" si="0"/>
        <v>117088.72670973989</v>
      </c>
      <c r="H42">
        <f>MAX(D42,DATA!$B$3)</f>
        <v>117108.72670973989</v>
      </c>
      <c r="I42">
        <f t="shared" si="3"/>
        <v>3.1286306975027838</v>
      </c>
      <c r="J42">
        <f>H42*'LIFE TABLE MALE'!D102/1000*F41*E41</f>
        <v>28.107482707017184</v>
      </c>
      <c r="K42">
        <f>0</f>
        <v>0</v>
      </c>
      <c r="L42" s="43">
        <f>DATA!$B$8*((1+DATA!$B$9)^A41)*F42*E42</f>
        <v>3.5669448233445471E-2</v>
      </c>
      <c r="M42">
        <f>B41*EXP(RATES!O43)*(DATA!$B$12)</f>
        <v>1341.122432667778</v>
      </c>
      <c r="N42">
        <f>C41*EXP(RATES!O43)*(DATA!$B$12)</f>
        <v>335.28060816694449</v>
      </c>
      <c r="O42">
        <f t="shared" si="4"/>
        <v>1676.4030408347226</v>
      </c>
      <c r="P42">
        <f t="shared" si="5"/>
        <v>0.55245655155724138</v>
      </c>
      <c r="Q42">
        <f>RATES!G43</f>
        <v>0.35072355328981947</v>
      </c>
      <c r="R42" s="46">
        <f t="shared" si="6"/>
        <v>31.824239404310653</v>
      </c>
      <c r="S42">
        <f t="shared" si="7"/>
        <v>11.16151032462572</v>
      </c>
      <c r="T42">
        <f>C41*EXP(RATES!O43)*(DATA!$B$6-DATA!$B$12)</f>
        <v>191.58891895253967</v>
      </c>
      <c r="U42">
        <f>B41*EXP(RATES!O43)*(DATA!$B$6-DATA!$B$12)</f>
        <v>766.35567581015869</v>
      </c>
      <c r="V42">
        <f t="shared" si="8"/>
        <v>957.94459476269833</v>
      </c>
      <c r="W42">
        <f t="shared" si="9"/>
        <v>0.31568945803270926</v>
      </c>
      <c r="X42">
        <f>W42*BASE!Q42</f>
        <v>0.11071972845736913</v>
      </c>
    </row>
    <row r="43" spans="1:24" x14ac:dyDescent="0.3">
      <c r="A43" s="5">
        <v>41</v>
      </c>
      <c r="B43">
        <f>B42*EXP(RATES!O44)*(1-DATA!$B$6)</f>
        <v>94547.223145914031</v>
      </c>
      <c r="C43">
        <f>C42*EXP(RATES!O44)*(1-DATA!$B$6)</f>
        <v>23636.805786478508</v>
      </c>
      <c r="D43">
        <f t="shared" si="1"/>
        <v>118184.02893239254</v>
      </c>
      <c r="E43">
        <f>E42*(1-'LIFE TABLE MALE'!D103/1000)</f>
        <v>4.2161420347981409E-3</v>
      </c>
      <c r="F43">
        <f t="shared" si="2"/>
        <v>4.0908263275743061E-2</v>
      </c>
      <c r="G43">
        <f t="shared" si="0"/>
        <v>118164.02893239254</v>
      </c>
      <c r="H43">
        <f>MAX(D43,DATA!$B$3)</f>
        <v>118184.02893239254</v>
      </c>
      <c r="I43">
        <f t="shared" si="3"/>
        <v>1.6524605355735482</v>
      </c>
      <c r="J43">
        <f>H43*'LIFE TABLE MALE'!D103/1000*F42*E42</f>
        <v>16.910864432636824</v>
      </c>
      <c r="K43">
        <f>0</f>
        <v>0</v>
      </c>
      <c r="L43" s="43">
        <f>DATA!$B$8*((1+DATA!$B$9)^A42)*F43*E43</f>
        <v>1.9041587388960918E-2</v>
      </c>
      <c r="M43">
        <f>B42*EXP(RATES!O44)*(DATA!$B$12)</f>
        <v>1353.4367321500988</v>
      </c>
      <c r="N43">
        <f>C42*EXP(RATES!O44)*(DATA!$B$12)</f>
        <v>338.3591830375247</v>
      </c>
      <c r="O43">
        <f t="shared" si="4"/>
        <v>1691.7959151876235</v>
      </c>
      <c r="P43">
        <f t="shared" si="5"/>
        <v>0.29179258229983868</v>
      </c>
      <c r="Q43">
        <f>RATES!G44</f>
        <v>0.33988676611542612</v>
      </c>
      <c r="R43" s="46">
        <f t="shared" si="6"/>
        <v>18.874159137899174</v>
      </c>
      <c r="S43">
        <f t="shared" si="7"/>
        <v>6.4150769125284688</v>
      </c>
      <c r="T43">
        <f>C42*EXP(RATES!O44)*(DATA!$B$6-DATA!$B$12)</f>
        <v>193.34810459287121</v>
      </c>
      <c r="U43">
        <f>B42*EXP(RATES!O44)*(DATA!$B$6-DATA!$B$12)</f>
        <v>773.39241837148484</v>
      </c>
      <c r="V43">
        <f t="shared" si="8"/>
        <v>966.74052296435605</v>
      </c>
      <c r="W43">
        <f t="shared" si="9"/>
        <v>0.16673861845705065</v>
      </c>
      <c r="X43">
        <f>W43*BASE!Q43</f>
        <v>5.6672249813920848E-2</v>
      </c>
    </row>
    <row r="44" spans="1:24" x14ac:dyDescent="0.3">
      <c r="A44" s="5">
        <v>42</v>
      </c>
      <c r="B44">
        <f>B43*EXP(RATES!O45)*(1-DATA!$B$6)</f>
        <v>95439.467610481792</v>
      </c>
      <c r="C44">
        <f>C43*EXP(RATES!O45)*(1-DATA!$B$6)</f>
        <v>23859.866902620448</v>
      </c>
      <c r="D44">
        <f t="shared" si="1"/>
        <v>119299.33451310224</v>
      </c>
      <c r="E44">
        <f>E43*(1-'LIFE TABLE MALE'!D104/1000)</f>
        <v>2.2139168837298946E-3</v>
      </c>
      <c r="F44">
        <f t="shared" si="2"/>
        <v>3.7840143530062334E-2</v>
      </c>
      <c r="G44">
        <f t="shared" si="0"/>
        <v>119279.33451310224</v>
      </c>
      <c r="H44">
        <f>MAX(D44,DATA!$B$3)</f>
        <v>119299.33451310224</v>
      </c>
      <c r="I44">
        <f t="shared" si="3"/>
        <v>0.81021228767451969</v>
      </c>
      <c r="J44">
        <f>H44*'LIFE TABLE MALE'!D104/1000*F43*E43</f>
        <v>9.7715166381298992</v>
      </c>
      <c r="K44">
        <f>0</f>
        <v>0</v>
      </c>
      <c r="L44" s="43">
        <f>DATA!$B$8*((1+DATA!$B$9)^A43)*F44*E44</f>
        <v>9.4338970788216906E-3</v>
      </c>
      <c r="M44">
        <f>B43*EXP(RATES!O45)*(DATA!$B$12)</f>
        <v>1366.2091477983079</v>
      </c>
      <c r="N44">
        <f>C43*EXP(RATES!O45)*(DATA!$B$12)</f>
        <v>341.55228694957697</v>
      </c>
      <c r="O44">
        <f t="shared" si="4"/>
        <v>1707.7614347478848</v>
      </c>
      <c r="P44">
        <f t="shared" si="5"/>
        <v>0.14306759916796941</v>
      </c>
      <c r="Q44">
        <f>RATES!G45</f>
        <v>0.32930162970189214</v>
      </c>
      <c r="R44" s="46">
        <f t="shared" si="6"/>
        <v>10.734230422051208</v>
      </c>
      <c r="S44">
        <f t="shared" si="7"/>
        <v>3.5347995715770923</v>
      </c>
      <c r="T44">
        <f>C43*EXP(RATES!O45)*(DATA!$B$6-DATA!$B$12)</f>
        <v>195.17273539975824</v>
      </c>
      <c r="U44">
        <f>B43*EXP(RATES!O45)*(DATA!$B$6-DATA!$B$12)</f>
        <v>780.69094159903295</v>
      </c>
      <c r="V44">
        <f t="shared" si="8"/>
        <v>975.86367699879122</v>
      </c>
      <c r="W44">
        <f t="shared" si="9"/>
        <v>8.1752913810268224E-2</v>
      </c>
      <c r="X44">
        <f>W44*BASE!Q44</f>
        <v>2.692136775059965E-2</v>
      </c>
    </row>
    <row r="45" spans="1:24" x14ac:dyDescent="0.3">
      <c r="A45" s="5">
        <v>43</v>
      </c>
      <c r="B45">
        <f>B44*EXP(RATES!O46)*(1-DATA!$B$6)</f>
        <v>96364.465078835521</v>
      </c>
      <c r="C45">
        <f>C44*EXP(RATES!O46)*(1-DATA!$B$6)</f>
        <v>24091.11626970888</v>
      </c>
      <c r="D45">
        <f t="shared" si="1"/>
        <v>120455.58134854439</v>
      </c>
      <c r="E45">
        <f>E44*(1-'LIFE TABLE MALE'!D105/1000)</f>
        <v>1.0858367228099039E-3</v>
      </c>
      <c r="F45">
        <f t="shared" si="2"/>
        <v>3.5002132765307663E-2</v>
      </c>
      <c r="G45">
        <f t="shared" si="0"/>
        <v>120435.58134854439</v>
      </c>
      <c r="H45">
        <f>MAX(D45,DATA!$B$3)</f>
        <v>120455.58134854439</v>
      </c>
      <c r="I45">
        <f t="shared" si="3"/>
        <v>0.37113625155923224</v>
      </c>
      <c r="J45">
        <f>H45*'LIFE TABLE MALE'!D105/1000*F44*E44</f>
        <v>5.1418530955923343</v>
      </c>
      <c r="K45">
        <f>0</f>
        <v>0</v>
      </c>
      <c r="L45" s="43">
        <f>DATA!$B$8*((1+DATA!$B$9)^A44)*F45*E45</f>
        <v>4.3655227062874141E-3</v>
      </c>
      <c r="M45">
        <f>B44*EXP(RATES!O46)*(DATA!$B$12)</f>
        <v>1379.4504203514286</v>
      </c>
      <c r="N45">
        <f>C44*EXP(RATES!O46)*(DATA!$B$12)</f>
        <v>344.86260508785716</v>
      </c>
      <c r="O45">
        <f t="shared" si="4"/>
        <v>1724.3130254392859</v>
      </c>
      <c r="P45">
        <f t="shared" si="5"/>
        <v>6.5535277386719243E-2</v>
      </c>
      <c r="Q45">
        <f>RATES!G46</f>
        <v>0.3189655855815991</v>
      </c>
      <c r="R45" s="46">
        <f t="shared" si="6"/>
        <v>5.5828901472445729</v>
      </c>
      <c r="S45">
        <f t="shared" si="7"/>
        <v>1.7807498250536051</v>
      </c>
      <c r="T45">
        <f>C44*EXP(RATES!O46)*(DATA!$B$6-DATA!$B$12)</f>
        <v>197.06434576448979</v>
      </c>
      <c r="U45">
        <f>B44*EXP(RATES!O46)*(DATA!$B$6-DATA!$B$12)</f>
        <v>788.25738305795915</v>
      </c>
      <c r="V45">
        <f t="shared" si="8"/>
        <v>985.3217288224489</v>
      </c>
      <c r="W45">
        <f t="shared" si="9"/>
        <v>3.7448729935268127E-2</v>
      </c>
      <c r="X45">
        <f>W45*BASE!Q45</f>
        <v>1.1944856073089958E-2</v>
      </c>
    </row>
    <row r="46" spans="1:24" x14ac:dyDescent="0.3">
      <c r="A46" s="5">
        <v>44</v>
      </c>
      <c r="B46">
        <f>B45*EXP(RATES!O47)*(1-DATA!$B$6)</f>
        <v>97281.312696218753</v>
      </c>
      <c r="C46">
        <f>C45*EXP(RATES!O47)*(1-DATA!$B$6)</f>
        <v>24320.328174054688</v>
      </c>
      <c r="D46">
        <f t="shared" si="1"/>
        <v>121601.64087027343</v>
      </c>
      <c r="E46">
        <f>E45*(1-'LIFE TABLE MALE'!D106/1000)</f>
        <v>4.9467420147581884E-4</v>
      </c>
      <c r="F46">
        <f t="shared" si="2"/>
        <v>3.237697280790959E-2</v>
      </c>
      <c r="G46">
        <f t="shared" si="0"/>
        <v>121581.64087027343</v>
      </c>
      <c r="H46">
        <f>MAX(D46,DATA!$B$3)</f>
        <v>121601.64087027343</v>
      </c>
      <c r="I46">
        <f t="shared" si="3"/>
        <v>0.15788578578396595</v>
      </c>
      <c r="J46">
        <f>H46*'LIFE TABLE MALE'!D106/1000*F45*E45</f>
        <v>2.5161749582094441</v>
      </c>
      <c r="K46">
        <f>0</f>
        <v>0</v>
      </c>
      <c r="L46" s="43">
        <f>DATA!$B$8*((1+DATA!$B$9)^A45)*F46*E46</f>
        <v>1.8764322651244484E-3</v>
      </c>
      <c r="M46">
        <f>B45*EXP(RATES!O47)*(DATA!$B$12)</f>
        <v>1392.5750283712298</v>
      </c>
      <c r="N46">
        <f>C45*EXP(RATES!O47)*(DATA!$B$12)</f>
        <v>348.14375709280745</v>
      </c>
      <c r="O46">
        <f t="shared" si="4"/>
        <v>1740.7187854640372</v>
      </c>
      <c r="P46">
        <f t="shared" si="5"/>
        <v>2.7879444621934951E-2</v>
      </c>
      <c r="Q46">
        <f>RATES!G47</f>
        <v>0.30900832177573956</v>
      </c>
      <c r="R46" s="46">
        <f t="shared" si="6"/>
        <v>2.7038166208804695</v>
      </c>
      <c r="S46">
        <f t="shared" si="7"/>
        <v>0.83550183640762488</v>
      </c>
      <c r="T46">
        <f>C45*EXP(RATES!O47)*(DATA!$B$6-DATA!$B$12)</f>
        <v>198.93928976731848</v>
      </c>
      <c r="U46">
        <f>B45*EXP(RATES!O47)*(DATA!$B$6-DATA!$B$12)</f>
        <v>795.75715906927394</v>
      </c>
      <c r="V46">
        <f t="shared" si="8"/>
        <v>994.69644883659248</v>
      </c>
      <c r="W46">
        <f t="shared" si="9"/>
        <v>1.5931111212534255E-2</v>
      </c>
      <c r="X46">
        <f>W46*BASE!Q46</f>
        <v>4.9228459398078777E-3</v>
      </c>
    </row>
    <row r="47" spans="1:24" x14ac:dyDescent="0.3">
      <c r="A47" s="6">
        <v>45</v>
      </c>
      <c r="B47">
        <f>B46*EXP(RATES!O48)*(1-DATA!$B$6)</f>
        <v>98229.776108477323</v>
      </c>
      <c r="C47">
        <f>C46*EXP(RATES!O48)*(1-DATA!$B$6)</f>
        <v>24557.444027119331</v>
      </c>
      <c r="D47">
        <f t="shared" si="1"/>
        <v>122787.22013559665</v>
      </c>
      <c r="E47">
        <f>E46*(1-'LIFE TABLE MALE'!D107/1000)</f>
        <v>2.0813801883623825E-4</v>
      </c>
      <c r="F47">
        <f t="shared" si="2"/>
        <v>2.9948699847316372E-2</v>
      </c>
      <c r="G47">
        <f t="shared" si="0"/>
        <v>122767.22013559665</v>
      </c>
      <c r="H47">
        <f>MAX(D47,DATA!$B$3)</f>
        <v>122787.22013559665</v>
      </c>
      <c r="I47">
        <f t="shared" si="3"/>
        <v>6.2048507904939515E-2</v>
      </c>
      <c r="J47">
        <f>H47*'LIFE TABLE MALE'!D107/1000*F46*E46</f>
        <v>1.1391184299708776</v>
      </c>
      <c r="K47">
        <f>0</f>
        <v>0</v>
      </c>
      <c r="L47" s="43">
        <f>DATA!$B$8*((1+DATA!$B$9)^A46)*F47*E47</f>
        <v>7.4491539790216583E-4</v>
      </c>
      <c r="M47">
        <f>B46*EXP(RATES!O48)*(DATA!$B$12)</f>
        <v>1406.1522142317817</v>
      </c>
      <c r="N47">
        <f>C46*EXP(RATES!O48)*(DATA!$B$12)</f>
        <v>351.53805355794543</v>
      </c>
      <c r="O47">
        <f t="shared" si="4"/>
        <v>1757.6902677897272</v>
      </c>
      <c r="P47">
        <f t="shared" si="5"/>
        <v>1.0956497342782258E-2</v>
      </c>
      <c r="Q47">
        <f>RATES!G48</f>
        <v>0.29929213083059769</v>
      </c>
      <c r="R47" s="46">
        <f t="shared" si="6"/>
        <v>1.2128683506165017</v>
      </c>
      <c r="S47">
        <f t="shared" si="7"/>
        <v>0.36300195307300526</v>
      </c>
      <c r="T47">
        <f>C46*EXP(RATES!O48)*(DATA!$B$6-DATA!$B$12)</f>
        <v>200.87888774739736</v>
      </c>
      <c r="U47">
        <f>B46*EXP(RATES!O48)*(DATA!$B$6-DATA!$B$12)</f>
        <v>803.51555098958943</v>
      </c>
      <c r="V47">
        <f t="shared" si="8"/>
        <v>1004.3944387369868</v>
      </c>
      <c r="W47">
        <f t="shared" si="9"/>
        <v>6.2608556244470037E-3</v>
      </c>
      <c r="X47">
        <f>W47*BASE!Q47</f>
        <v>1.873824820663476E-3</v>
      </c>
    </row>
    <row r="48" spans="1:24" x14ac:dyDescent="0.3">
      <c r="A48" s="5">
        <v>46</v>
      </c>
      <c r="B48">
        <f>B47*EXP(RATES!O49)*(1-DATA!$B$6)</f>
        <v>99166.189047448002</v>
      </c>
      <c r="C48">
        <f>C47*EXP(RATES!O49)*(1-DATA!$B$6)</f>
        <v>24791.547261862001</v>
      </c>
      <c r="D48">
        <f t="shared" si="1"/>
        <v>123957.73630931</v>
      </c>
      <c r="E48">
        <f>E47*(1-'LIFE TABLE MALE'!D108/1000)</f>
        <v>8.0415959354706781E-5</v>
      </c>
      <c r="F48">
        <f t="shared" si="2"/>
        <v>2.7702547358767645E-2</v>
      </c>
      <c r="G48">
        <f t="shared" si="0"/>
        <v>123937.73630931</v>
      </c>
      <c r="H48">
        <f>MAX(D48,DATA!$B$3)</f>
        <v>123957.73630931</v>
      </c>
      <c r="I48">
        <f t="shared" si="3"/>
        <v>2.2386440422751203E-2</v>
      </c>
      <c r="J48">
        <f>H48*'LIFE TABLE MALE'!D108/1000*F47*E47</f>
        <v>0.47415193003841649</v>
      </c>
      <c r="K48">
        <f>0</f>
        <v>0</v>
      </c>
      <c r="L48" s="43">
        <f>DATA!$B$8*((1+DATA!$B$9)^A47)*F48*E48</f>
        <v>2.7154367230477919E-4</v>
      </c>
      <c r="M48">
        <f>B47*EXP(RATES!O49)*(DATA!$B$12)</f>
        <v>1419.5568984297261</v>
      </c>
      <c r="N48">
        <f>C47*EXP(RATES!O49)*(DATA!$B$12)</f>
        <v>354.88922460743152</v>
      </c>
      <c r="O48">
        <f t="shared" si="4"/>
        <v>1774.4461230371576</v>
      </c>
      <c r="P48">
        <f t="shared" si="5"/>
        <v>3.9529814006816497E-3</v>
      </c>
      <c r="Q48">
        <f>RATES!G49</f>
        <v>0.28994370460990543</v>
      </c>
      <c r="R48" s="46">
        <f t="shared" si="6"/>
        <v>0.5007628955341541</v>
      </c>
      <c r="S48">
        <f t="shared" si="7"/>
        <v>0.14519304906235569</v>
      </c>
      <c r="T48">
        <f>C47*EXP(RATES!O49)*(DATA!$B$6-DATA!$B$12)</f>
        <v>202.79384263281796</v>
      </c>
      <c r="U48">
        <f>B47*EXP(RATES!O49)*(DATA!$B$6-DATA!$B$12)</f>
        <v>811.17537053127182</v>
      </c>
      <c r="V48">
        <f t="shared" si="8"/>
        <v>1013.9692131640898</v>
      </c>
      <c r="W48">
        <f t="shared" si="9"/>
        <v>2.2588465146752279E-3</v>
      </c>
      <c r="X48">
        <f>W48*BASE!Q48</f>
        <v>6.5493832661010873E-4</v>
      </c>
    </row>
    <row r="49" spans="1:24" x14ac:dyDescent="0.3">
      <c r="A49" s="5">
        <v>47</v>
      </c>
      <c r="B49">
        <f>B48*EXP(RATES!O50)*(1-DATA!$B$6)</f>
        <v>100132.91784628085</v>
      </c>
      <c r="C49">
        <f>C48*EXP(RATES!O50)*(1-DATA!$B$6)</f>
        <v>25033.229461570212</v>
      </c>
      <c r="D49">
        <f t="shared" si="1"/>
        <v>125166.14730785106</v>
      </c>
      <c r="E49">
        <f>E48*(1-'LIFE TABLE MALE'!D109/1000)</f>
        <v>2.836260995277507E-5</v>
      </c>
      <c r="F49">
        <f t="shared" si="2"/>
        <v>2.5624856306860073E-2</v>
      </c>
      <c r="G49">
        <f t="shared" si="0"/>
        <v>125146.14730785106</v>
      </c>
      <c r="H49">
        <f>MAX(D49,DATA!$B$3)</f>
        <v>125166.14730785106</v>
      </c>
      <c r="I49">
        <f t="shared" si="3"/>
        <v>7.3747048902918829E-3</v>
      </c>
      <c r="J49">
        <f>H49*'LIFE TABLE MALE'!D109/1000*F48*E48</f>
        <v>0.18049088326571666</v>
      </c>
      <c r="K49">
        <f>0</f>
        <v>0</v>
      </c>
      <c r="L49" s="43">
        <f>DATA!$B$8*((1+DATA!$B$9)^A48)*F49*E49</f>
        <v>9.0361937987069077E-5</v>
      </c>
      <c r="M49">
        <f>B48*EXP(RATES!O50)*(DATA!$B$12)</f>
        <v>1433.3955519917506</v>
      </c>
      <c r="N49">
        <f>C48*EXP(RATES!O50)*(DATA!$B$12)</f>
        <v>358.34888799793765</v>
      </c>
      <c r="O49">
        <f t="shared" si="4"/>
        <v>1791.7444399896883</v>
      </c>
      <c r="P49">
        <f t="shared" si="5"/>
        <v>1.3022180078142464E-3</v>
      </c>
      <c r="Q49">
        <f>RATES!G50</f>
        <v>0.28082727798558355</v>
      </c>
      <c r="R49" s="46">
        <f t="shared" si="6"/>
        <v>0.18925816810180984</v>
      </c>
      <c r="S49">
        <f t="shared" si="7"/>
        <v>5.314885618456925E-2</v>
      </c>
      <c r="T49">
        <f>C48*EXP(RATES!O50)*(DATA!$B$6-DATA!$B$12)</f>
        <v>204.77079314167861</v>
      </c>
      <c r="U49">
        <f>B48*EXP(RATES!O50)*(DATA!$B$6-DATA!$B$12)</f>
        <v>819.08317256671444</v>
      </c>
      <c r="V49">
        <f t="shared" si="8"/>
        <v>1023.853965708393</v>
      </c>
      <c r="W49">
        <f t="shared" si="9"/>
        <v>7.4412457589385494E-4</v>
      </c>
      <c r="X49">
        <f>W49*BASE!Q49</f>
        <v>2.0897047913044807E-4</v>
      </c>
    </row>
    <row r="50" spans="1:24" x14ac:dyDescent="0.3">
      <c r="A50" s="5">
        <v>48</v>
      </c>
      <c r="B50">
        <f>B49*EXP(RATES!O51)*(1-DATA!$B$6)</f>
        <v>101130.66967745037</v>
      </c>
      <c r="C50">
        <f>C49*EXP(RATES!O51)*(1-DATA!$B$6)</f>
        <v>25282.667419362591</v>
      </c>
      <c r="D50">
        <f t="shared" si="1"/>
        <v>126413.33709681296</v>
      </c>
      <c r="E50">
        <f>E49*(1-'LIFE TABLE MALE'!D110/1000)</f>
        <v>9.0786411414904827E-6</v>
      </c>
      <c r="F50">
        <f t="shared" si="2"/>
        <v>2.3702992083845568E-2</v>
      </c>
      <c r="G50">
        <f t="shared" si="0"/>
        <v>126393.33709681296</v>
      </c>
      <c r="H50">
        <f>MAX(D50,DATA!$B$3)</f>
        <v>126413.33709681296</v>
      </c>
      <c r="I50">
        <f t="shared" si="3"/>
        <v>2.2053002784995701E-3</v>
      </c>
      <c r="J50">
        <f>H50*'LIFE TABLE MALE'!D110/1000*F49*E49</f>
        <v>6.2467015240750517E-2</v>
      </c>
      <c r="K50">
        <f>0</f>
        <v>0</v>
      </c>
      <c r="L50" s="43">
        <f>DATA!$B$8*((1+DATA!$B$9)^A49)*F50*E50</f>
        <v>2.7289909683218421E-5</v>
      </c>
      <c r="M50">
        <f>B49*EXP(RATES!O51)*(DATA!$B$12)</f>
        <v>1447.678298041212</v>
      </c>
      <c r="N50">
        <f>C49*EXP(RATES!O51)*(DATA!$B$12)</f>
        <v>361.91957451030299</v>
      </c>
      <c r="O50">
        <f t="shared" si="4"/>
        <v>1809.5978725515149</v>
      </c>
      <c r="P50">
        <f t="shared" si="5"/>
        <v>3.8940910179564723E-4</v>
      </c>
      <c r="Q50">
        <f>RATES!G51</f>
        <v>0.27193939918145021</v>
      </c>
      <c r="R50" s="46">
        <f t="shared" si="6"/>
        <v>6.5089014530728947E-2</v>
      </c>
      <c r="S50">
        <f t="shared" si="7"/>
        <v>1.7700267504799111E-2</v>
      </c>
      <c r="T50">
        <f>C49*EXP(RATES!O51)*(DATA!$B$6-DATA!$B$12)</f>
        <v>206.81118543445879</v>
      </c>
      <c r="U50">
        <f>B49*EXP(RATES!O51)*(DATA!$B$6-DATA!$B$12)</f>
        <v>827.24474173783517</v>
      </c>
      <c r="V50">
        <f t="shared" si="8"/>
        <v>1034.0559271722939</v>
      </c>
      <c r="W50">
        <f t="shared" si="9"/>
        <v>2.2251948674036976E-4</v>
      </c>
      <c r="X50">
        <f>W50*BASE!Q50</f>
        <v>6.0511815530340827E-5</v>
      </c>
    </row>
    <row r="51" spans="1:24" x14ac:dyDescent="0.3">
      <c r="A51" s="5">
        <v>49</v>
      </c>
      <c r="B51">
        <f>B50*EXP(RATES!O52)*(1-DATA!$B$6)</f>
        <v>102111.47643077932</v>
      </c>
      <c r="C51">
        <f>C50*EXP(RATES!O52)*(1-DATA!$B$6)</f>
        <v>25527.869107694831</v>
      </c>
      <c r="D51">
        <f t="shared" si="1"/>
        <v>127639.34553847415</v>
      </c>
      <c r="E51">
        <f>E50*(1-'LIFE TABLE MALE'!D111/1000)</f>
        <v>2.622101305262309E-6</v>
      </c>
      <c r="F51">
        <f t="shared" si="2"/>
        <v>2.1925267677557151E-2</v>
      </c>
      <c r="G51">
        <f t="shared" si="0"/>
        <v>127619.34553847415</v>
      </c>
      <c r="H51">
        <f>MAX(D51,DATA!$B$3)</f>
        <v>127639.34553847415</v>
      </c>
      <c r="I51">
        <f t="shared" si="3"/>
        <v>5.9488143360973504E-4</v>
      </c>
      <c r="J51">
        <f>H51*'LIFE TABLE MALE'!D111/1000*F50*E50</f>
        <v>1.9533837705387365E-2</v>
      </c>
      <c r="K51">
        <f>0</f>
        <v>0</v>
      </c>
      <c r="L51" s="43">
        <f>DATA!$B$8*((1+DATA!$B$9)^A50)*F51*E51</f>
        <v>7.4365691360530005E-6</v>
      </c>
      <c r="M51">
        <f>B50*EXP(RATES!O52)*(DATA!$B$12)</f>
        <v>1461.7184765142235</v>
      </c>
      <c r="N51">
        <f>C50*EXP(RATES!O52)*(DATA!$B$12)</f>
        <v>365.42961912855588</v>
      </c>
      <c r="O51">
        <f t="shared" si="4"/>
        <v>1827.1480956427795</v>
      </c>
      <c r="P51">
        <f t="shared" si="5"/>
        <v>1.0504324282179927E-4</v>
      </c>
      <c r="Q51">
        <f>RATES!G52</f>
        <v>0.26340215020802832</v>
      </c>
      <c r="R51" s="46">
        <f t="shared" si="6"/>
        <v>2.0241198950954952E-2</v>
      </c>
      <c r="S51">
        <f t="shared" si="7"/>
        <v>5.3315753264700219E-3</v>
      </c>
      <c r="T51">
        <f>C50*EXP(RATES!O52)*(DATA!$B$6-DATA!$B$12)</f>
        <v>208.8169252163176</v>
      </c>
      <c r="U51">
        <f>B50*EXP(RATES!O52)*(DATA!$B$6-DATA!$B$12)</f>
        <v>835.2677008652704</v>
      </c>
      <c r="V51">
        <f t="shared" si="8"/>
        <v>1044.0846260815879</v>
      </c>
      <c r="W51">
        <f t="shared" si="9"/>
        <v>6.0024710183885265E-5</v>
      </c>
      <c r="X51">
        <f>W51*BASE!Q51</f>
        <v>1.5810637728049113E-5</v>
      </c>
    </row>
    <row r="52" spans="1:24" x14ac:dyDescent="0.3">
      <c r="A52" s="6">
        <v>50</v>
      </c>
      <c r="B52">
        <f>B51*EXP(RATES!O53)*(1-DATA!$B$6)</f>
        <v>103171.99920404634</v>
      </c>
      <c r="C52">
        <f>C51*EXP(RATES!O53)*(1-DATA!$B$6)</f>
        <v>25792.999801011585</v>
      </c>
      <c r="D52">
        <f t="shared" si="1"/>
        <v>128964.99900505792</v>
      </c>
      <c r="E52">
        <f>E51*(1-'LIFE TABLE MALE'!D112/1000)</f>
        <v>6.794887101443695E-7</v>
      </c>
      <c r="F52">
        <f t="shared" si="2"/>
        <v>2.0280872601740364E-2</v>
      </c>
      <c r="G52">
        <f t="shared" si="0"/>
        <v>128944.99900505792</v>
      </c>
      <c r="H52">
        <f>MAX(D52,DATA!$B$3)</f>
        <v>128964.99900505792</v>
      </c>
      <c r="I52">
        <f t="shared" si="3"/>
        <v>1.4407642243985727E-4</v>
      </c>
      <c r="J52">
        <f>H52*'LIFE TABLE MALE'!D112/1000*F51*E51</f>
        <v>5.4929160743695318E-3</v>
      </c>
      <c r="K52">
        <f>E52*D52*F52</f>
        <v>1.7772181559042016E-3</v>
      </c>
      <c r="L52" s="43">
        <f>DATA!$B$8*((1+DATA!$B$9)^A51)*F52*E52</f>
        <v>1.8182236517994968E-6</v>
      </c>
      <c r="M52">
        <f>B51*EXP(RATES!O53)*(DATA!$B$12)</f>
        <v>1476.8997841070029</v>
      </c>
      <c r="N52">
        <f>C51*EXP(RATES!O53)*(DATA!$B$12)</f>
        <v>369.22494602675073</v>
      </c>
      <c r="O52">
        <f t="shared" si="4"/>
        <v>1846.1247301337537</v>
      </c>
      <c r="P52">
        <f t="shared" si="5"/>
        <v>2.5440750698015158E-5</v>
      </c>
      <c r="Q52">
        <f>RATES!G53</f>
        <v>0.25495931300893881</v>
      </c>
      <c r="R52" s="46">
        <f t="shared" si="6"/>
        <v>7.4414696270634056E-3</v>
      </c>
      <c r="S52">
        <f t="shared" si="7"/>
        <v>1.89727198389297E-3</v>
      </c>
      <c r="T52">
        <f>C51*EXP(RATES!O53)*(DATA!$B$6-DATA!$B$12)</f>
        <v>210.98568344385751</v>
      </c>
      <c r="U52">
        <f>B51*EXP(RATES!O53)*(DATA!$B$6-DATA!$B$12)</f>
        <v>843.94273377543004</v>
      </c>
      <c r="V52">
        <f>T52+U52</f>
        <v>1054.9284172192874</v>
      </c>
      <c r="W52">
        <f t="shared" si="9"/>
        <v>1.4537571827437228E-5</v>
      </c>
      <c r="X52">
        <f>W52*BASE!Q52</f>
        <v>3.7064893259414989E-6</v>
      </c>
    </row>
    <row r="56" spans="1:24" x14ac:dyDescent="0.3">
      <c r="P56" s="52" t="s">
        <v>56</v>
      </c>
      <c r="Q56" s="47">
        <f>SUM(S3:S52)</f>
        <v>92119.809152717833</v>
      </c>
      <c r="T56" s="56" t="s">
        <v>59</v>
      </c>
    </row>
    <row r="57" spans="1:24" x14ac:dyDescent="0.3">
      <c r="P57" s="54" t="s">
        <v>57</v>
      </c>
      <c r="Q57" s="48">
        <f>DATA!B2-Q56</f>
        <v>7880.1908472821669</v>
      </c>
      <c r="T57" s="52" t="s">
        <v>60</v>
      </c>
      <c r="U57" s="47">
        <f>SUMPRODUCT(J3:J52,Q3:Q52)</f>
        <v>15750.120810937698</v>
      </c>
    </row>
    <row r="58" spans="1:24" x14ac:dyDescent="0.3">
      <c r="T58" s="53" t="s">
        <v>61</v>
      </c>
      <c r="U58" s="50">
        <f>SUMPRODUCT(I3:I52,Q3:Q52)</f>
        <v>64525.803237013155</v>
      </c>
    </row>
    <row r="59" spans="1:24" x14ac:dyDescent="0.3">
      <c r="P59" s="55" t="s">
        <v>58</v>
      </c>
      <c r="Q59" s="49">
        <f>SUMPRODUCT(S3:S52,A3:A52)/SUM(S3:S52)</f>
        <v>9.0321240550908968</v>
      </c>
      <c r="T59" s="53" t="s">
        <v>47</v>
      </c>
      <c r="U59" s="51">
        <f>SUMPRODUCT(L3:L52,Q3:Q52)</f>
        <v>449.57126999946911</v>
      </c>
    </row>
    <row r="60" spans="1:24" x14ac:dyDescent="0.3">
      <c r="T60" s="54" t="s">
        <v>48</v>
      </c>
      <c r="U60" s="48">
        <f>SUMPRODUCT(P3:P52,Q3:Q52)</f>
        <v>11394.313381649223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76A93-6A72-439E-AC90-4795EC433217}">
  <dimension ref="A1:X60"/>
  <sheetViews>
    <sheetView topLeftCell="E1" zoomScale="66" workbookViewId="0">
      <selection activeCell="P61" sqref="P61:Q63"/>
    </sheetView>
  </sheetViews>
  <sheetFormatPr defaultColWidth="11.19921875" defaultRowHeight="15.6" x14ac:dyDescent="0.3"/>
  <cols>
    <col min="5" max="5" width="14.5" bestFit="1" customWidth="1"/>
    <col min="6" max="8" width="11.296875" bestFit="1" customWidth="1"/>
    <col min="9" max="11" width="14.5" bestFit="1" customWidth="1"/>
    <col min="12" max="15" width="11.296875" bestFit="1" customWidth="1"/>
    <col min="16" max="16" width="22.19921875" customWidth="1"/>
    <col min="17" max="17" width="11.296875" bestFit="1" customWidth="1"/>
    <col min="18" max="18" width="11.5" bestFit="1" customWidth="1"/>
    <col min="19" max="19" width="14.5" bestFit="1" customWidth="1"/>
    <col min="21" max="21" width="11.296875" bestFit="1" customWidth="1"/>
  </cols>
  <sheetData>
    <row r="1" spans="1:24" x14ac:dyDescent="0.3">
      <c r="B1" s="42" t="s">
        <v>37</v>
      </c>
      <c r="C1" s="42" t="s">
        <v>38</v>
      </c>
      <c r="D1" s="9" t="s">
        <v>39</v>
      </c>
      <c r="E1" s="9" t="s">
        <v>40</v>
      </c>
      <c r="F1" s="9" t="s">
        <v>41</v>
      </c>
      <c r="G1" s="9" t="s">
        <v>42</v>
      </c>
      <c r="H1" s="9" t="s">
        <v>43</v>
      </c>
      <c r="I1" s="9" t="s">
        <v>45</v>
      </c>
      <c r="J1" s="9" t="s">
        <v>44</v>
      </c>
      <c r="K1" s="9" t="s">
        <v>46</v>
      </c>
      <c r="L1" s="9" t="s">
        <v>47</v>
      </c>
      <c r="M1" s="9" t="s">
        <v>49</v>
      </c>
      <c r="N1" s="9" t="s">
        <v>51</v>
      </c>
      <c r="O1" s="9" t="s">
        <v>52</v>
      </c>
      <c r="P1" s="9" t="s">
        <v>53</v>
      </c>
      <c r="Q1" s="9" t="s">
        <v>34</v>
      </c>
      <c r="R1" s="9" t="s">
        <v>54</v>
      </c>
      <c r="S1" s="9" t="s">
        <v>55</v>
      </c>
      <c r="T1" s="9" t="s">
        <v>62</v>
      </c>
      <c r="U1" s="9" t="s">
        <v>63</v>
      </c>
      <c r="V1" s="9" t="s">
        <v>64</v>
      </c>
      <c r="W1" s="9" t="s">
        <v>65</v>
      </c>
      <c r="X1" s="9" t="s">
        <v>104</v>
      </c>
    </row>
    <row r="2" spans="1:24" x14ac:dyDescent="0.3">
      <c r="A2" s="41">
        <v>0</v>
      </c>
      <c r="B2">
        <f>DATA!B2*0.8</f>
        <v>80000</v>
      </c>
      <c r="C2">
        <f>DATA!B2*0.2</f>
        <v>20000</v>
      </c>
      <c r="D2">
        <f>B2+C2</f>
        <v>100000</v>
      </c>
      <c r="E2">
        <f>1</f>
        <v>1</v>
      </c>
      <c r="F2">
        <f>1</f>
        <v>1</v>
      </c>
      <c r="G2">
        <f>D2-20</f>
        <v>99980</v>
      </c>
      <c r="H2">
        <f>MAX(D2,DATA!$B$3)</f>
        <v>100000</v>
      </c>
      <c r="M2">
        <f>B2</f>
        <v>80000</v>
      </c>
      <c r="N2">
        <f>C2</f>
        <v>20000</v>
      </c>
      <c r="Q2">
        <f>RATES!G3</f>
        <v>1</v>
      </c>
    </row>
    <row r="3" spans="1:24" x14ac:dyDescent="0.3">
      <c r="A3" s="5">
        <v>1</v>
      </c>
      <c r="B3">
        <f>B2*EXP(RATES!O4)*(1-DATA!$B$6)</f>
        <v>80989.353600000002</v>
      </c>
      <c r="C3">
        <f>C2*EXP(RATES!O4)*(1-DATA!$B$6)</f>
        <v>20247.338400000001</v>
      </c>
      <c r="D3">
        <f>B3+C3</f>
        <v>101236.69200000001</v>
      </c>
      <c r="E3">
        <f>E2*(1-'LIFE TABLE MALE'!D63/1000)</f>
        <v>0.99353212999999996</v>
      </c>
      <c r="F3">
        <f>F2*(1-0.15-0.4)</f>
        <v>0.44999999999999996</v>
      </c>
      <c r="G3">
        <f t="shared" ref="G3:G52" si="0">D3-20</f>
        <v>101216.69200000001</v>
      </c>
      <c r="H3">
        <f>MAX(D3,DATA!$B$3)</f>
        <v>101236.69200000001</v>
      </c>
      <c r="I3">
        <f>G3*(DATA!$B$7+0.4)*F2*E3</f>
        <v>55309.119576872683</v>
      </c>
      <c r="J3">
        <f>H3*'LIFE TABLE MALE'!D63/1000*F2*E2</f>
        <v>654.78576308603999</v>
      </c>
      <c r="K3">
        <f>0</f>
        <v>0</v>
      </c>
      <c r="L3" s="43">
        <f>DATA!$B$8*((1+DATA!$B$9)^A2)*F3*E3</f>
        <v>22.354472924999996</v>
      </c>
      <c r="M3">
        <f>B2*EXP(RATES!O4)*(DATA!$B$12)</f>
        <v>1159.3568</v>
      </c>
      <c r="N3">
        <f>C2*EXP(RATES!O4)*(DATA!$B$12)</f>
        <v>289.83920000000001</v>
      </c>
      <c r="O3">
        <f>M3+N3</f>
        <v>1449.1959999999999</v>
      </c>
      <c r="P3">
        <f>O3*E3*F3</f>
        <v>647.92025490036588</v>
      </c>
      <c r="Q3">
        <f>RATES!G4</f>
        <v>0.96605290105686192</v>
      </c>
      <c r="R3" s="43">
        <f>P3+L3+K3+J3+I3</f>
        <v>56634.180067784087</v>
      </c>
      <c r="S3">
        <f>R3*Q3</f>
        <v>54711.61395345952</v>
      </c>
      <c r="T3">
        <f>C2*EXP(RATES!O4)*(DATA!$B$6-DATA!$B$12)</f>
        <v>165.62239999999997</v>
      </c>
      <c r="U3">
        <f>B2*EXP(RATES!O4)*(DATA!$B$6-DATA!$B$12)</f>
        <v>662.48959999999988</v>
      </c>
      <c r="V3">
        <f>T3+U3</f>
        <v>828.11199999999985</v>
      </c>
      <c r="W3">
        <f>V3*E3*F3</f>
        <v>370.24014565735189</v>
      </c>
      <c r="X3">
        <f>W3*BASE!Q3</f>
        <v>357.67156679999994</v>
      </c>
    </row>
    <row r="4" spans="1:24" x14ac:dyDescent="0.3">
      <c r="A4" s="5">
        <v>2</v>
      </c>
      <c r="B4">
        <f>B3*EXP(RATES!O5)*(1-DATA!$B$6)</f>
        <v>81233.889418663224</v>
      </c>
      <c r="C4">
        <f>C3*EXP(RATES!O5)*(1-DATA!$B$6)</f>
        <v>20308.472354665806</v>
      </c>
      <c r="D4">
        <f t="shared" ref="D4:D52" si="1">B4+C4</f>
        <v>101542.36177332903</v>
      </c>
      <c r="E4">
        <f>E3*(1-'LIFE TABLE MALE'!D64/1000)</f>
        <v>0.98647779355864618</v>
      </c>
      <c r="F4">
        <f t="shared" ref="F4:F52" si="2">F3*(1-0.15)</f>
        <v>0.38249999999999995</v>
      </c>
      <c r="G4">
        <f t="shared" si="0"/>
        <v>101522.36177332903</v>
      </c>
      <c r="H4">
        <f>MAX(D4,DATA!$B$3)</f>
        <v>101542.36177332903</v>
      </c>
      <c r="I4">
        <f>G4*DATA!$B$7*F3*E4</f>
        <v>6760.0949921335978</v>
      </c>
      <c r="J4">
        <f>H4*'LIFE TABLE MALE'!D64/1000*F3*E3</f>
        <v>322.34129234942662</v>
      </c>
      <c r="K4">
        <f>0</f>
        <v>0</v>
      </c>
      <c r="L4" s="43">
        <f>DATA!$B$8*((1+DATA!$B$9)^A3)*F4*E4</f>
        <v>19.243715557845288</v>
      </c>
      <c r="M4">
        <f>B3*EXP(RATES!O5)*(DATA!$B$12)</f>
        <v>1162.8573127416005</v>
      </c>
      <c r="N4">
        <f>C3*EXP(RATES!O5)*(DATA!$B$12)</f>
        <v>290.71432818540012</v>
      </c>
      <c r="O4">
        <f t="shared" ref="O4:O52" si="3">M4+N4</f>
        <v>1453.5716409270005</v>
      </c>
      <c r="P4">
        <f t="shared" ref="P4:P52" si="4">O4*E4*F4</f>
        <v>548.47292550881616</v>
      </c>
      <c r="Q4">
        <f>RATES!G5</f>
        <v>0.94195563634332236</v>
      </c>
      <c r="R4" s="43">
        <f t="shared" ref="R4:R52" si="5">P4+L4+K4+J4+I4</f>
        <v>7650.1529255496862</v>
      </c>
      <c r="S4">
        <f t="shared" ref="S4:S52" si="6">R4*Q4</f>
        <v>7206.1046671098838</v>
      </c>
      <c r="T4">
        <f>C3*EXP(RATES!O5)*(DATA!$B$6-DATA!$B$12)</f>
        <v>166.12247324880002</v>
      </c>
      <c r="U4">
        <f>B3*EXP(RATES!O5)*(DATA!$B$6-DATA!$B$12)</f>
        <v>664.48989299520008</v>
      </c>
      <c r="V4">
        <f t="shared" ref="V4:V51" si="7">T4+U4</f>
        <v>830.6123662440001</v>
      </c>
      <c r="W4">
        <f t="shared" ref="W4:W52" si="8">V4*E4*F4</f>
        <v>313.41310029075203</v>
      </c>
      <c r="X4">
        <f>W4*BASE!Q4</f>
        <v>295.22123632270882</v>
      </c>
    </row>
    <row r="5" spans="1:24" x14ac:dyDescent="0.3">
      <c r="A5" s="5">
        <v>3</v>
      </c>
      <c r="B5">
        <f>B4*EXP(RATES!O6)*(1-DATA!$B$6)</f>
        <v>81258.802918728528</v>
      </c>
      <c r="C5">
        <f>C4*EXP(RATES!O6)*(1-DATA!$B$6)</f>
        <v>20314.700729682132</v>
      </c>
      <c r="D5">
        <f t="shared" si="1"/>
        <v>101573.50364841067</v>
      </c>
      <c r="E5">
        <f>E4*(1-'LIFE TABLE MALE'!D65/1000)</f>
        <v>0.97876837095420599</v>
      </c>
      <c r="F5">
        <f t="shared" si="2"/>
        <v>0.32512499999999994</v>
      </c>
      <c r="G5">
        <f t="shared" si="0"/>
        <v>101553.50364841067</v>
      </c>
      <c r="H5">
        <f>MAX(D5,DATA!$B$3)</f>
        <v>101573.50364841067</v>
      </c>
      <c r="I5">
        <f>G5*DATA!$B$7*F4*E5</f>
        <v>5702.9233768458662</v>
      </c>
      <c r="J5">
        <f>H5*'LIFE TABLE MALE'!D65/1000*F4*E4</f>
        <v>299.52544737751072</v>
      </c>
      <c r="K5">
        <f>0</f>
        <v>0</v>
      </c>
      <c r="L5" s="43">
        <f>DATA!$B$8*((1+DATA!$B$9)^A4)*F5*E5</f>
        <v>16.553911904869409</v>
      </c>
      <c r="M5">
        <f>B4*EXP(RATES!O6)*(DATA!$B$12)</f>
        <v>1163.2139477118603</v>
      </c>
      <c r="N5">
        <f>C4*EXP(RATES!O6)*(DATA!$B$12)</f>
        <v>290.80348692796508</v>
      </c>
      <c r="O5">
        <f t="shared" si="3"/>
        <v>1454.0174346398253</v>
      </c>
      <c r="P5">
        <f t="shared" si="4"/>
        <v>462.70043293294663</v>
      </c>
      <c r="Q5">
        <f>RATES!G6</f>
        <v>0.92095016751412107</v>
      </c>
      <c r="R5" s="43">
        <f t="shared" si="5"/>
        <v>6481.703169061193</v>
      </c>
      <c r="S5">
        <f t="shared" si="6"/>
        <v>5969.3256193237148</v>
      </c>
      <c r="T5">
        <f>C4*EXP(RATES!O6)*(DATA!$B$6-DATA!$B$12)</f>
        <v>166.17342110169432</v>
      </c>
      <c r="U5">
        <f>B4*EXP(RATES!O6)*(DATA!$B$6-DATA!$B$12)</f>
        <v>664.69368440677727</v>
      </c>
      <c r="V5">
        <f t="shared" si="7"/>
        <v>830.86710550847158</v>
      </c>
      <c r="W5">
        <f t="shared" si="8"/>
        <v>264.40024739025523</v>
      </c>
      <c r="X5">
        <f>W5*BASE!Q5</f>
        <v>243.49945212483061</v>
      </c>
    </row>
    <row r="6" spans="1:24" x14ac:dyDescent="0.3">
      <c r="A6" s="5">
        <v>4</v>
      </c>
      <c r="B6">
        <f>B5*EXP(RATES!O7)*(1-DATA!$B$6)</f>
        <v>81219.666893987174</v>
      </c>
      <c r="C6">
        <f>C5*EXP(RATES!O7)*(1-DATA!$B$6)</f>
        <v>20304.916723496794</v>
      </c>
      <c r="D6">
        <f t="shared" si="1"/>
        <v>101524.58361748396</v>
      </c>
      <c r="E6">
        <f>E5*(1-'LIFE TABLE MALE'!D66/1000)</f>
        <v>0.97028747025977602</v>
      </c>
      <c r="F6">
        <f t="shared" si="2"/>
        <v>0.27635624999999997</v>
      </c>
      <c r="G6">
        <f t="shared" si="0"/>
        <v>101504.58361748396</v>
      </c>
      <c r="H6">
        <f>MAX(D6,DATA!$B$3)</f>
        <v>101524.58361748396</v>
      </c>
      <c r="I6">
        <f>G6*DATA!$B$7*F5*E6</f>
        <v>4803.1671625576309</v>
      </c>
      <c r="J6">
        <f>H6*'LIFE TABLE MALE'!D66/1000*F5*E5</f>
        <v>279.93909879251368</v>
      </c>
      <c r="K6">
        <f>0</f>
        <v>0</v>
      </c>
      <c r="L6" s="43">
        <f>DATA!$B$8*((1+DATA!$B$9)^A5)*F6*E6</f>
        <v>14.227881313662703</v>
      </c>
      <c r="M6">
        <f>B5*EXP(RATES!O7)*(DATA!$B$12)</f>
        <v>1162.6537183188348</v>
      </c>
      <c r="N6">
        <f>C5*EXP(RATES!O7)*(DATA!$B$12)</f>
        <v>290.66342957970869</v>
      </c>
      <c r="O6">
        <f t="shared" si="3"/>
        <v>1453.3171478985435</v>
      </c>
      <c r="P6">
        <f t="shared" si="4"/>
        <v>389.69973636480807</v>
      </c>
      <c r="Q6">
        <f>RATES!G7</f>
        <v>0.90112326459071324</v>
      </c>
      <c r="R6" s="43">
        <f t="shared" si="5"/>
        <v>5487.033879028615</v>
      </c>
      <c r="S6">
        <f t="shared" si="6"/>
        <v>4944.4938819901099</v>
      </c>
      <c r="T6">
        <f>C5*EXP(RATES!O7)*(DATA!$B$6-DATA!$B$12)</f>
        <v>166.09338833126208</v>
      </c>
      <c r="U6">
        <f>B5*EXP(RATES!O7)*(DATA!$B$6-DATA!$B$12)</f>
        <v>664.37355332504831</v>
      </c>
      <c r="V6">
        <f t="shared" si="7"/>
        <v>830.46694165631038</v>
      </c>
      <c r="W6">
        <f t="shared" si="8"/>
        <v>222.68556363703317</v>
      </c>
      <c r="X6">
        <f>W6*BASE!Q6</f>
        <v>200.66714208182634</v>
      </c>
    </row>
    <row r="7" spans="1:24" x14ac:dyDescent="0.3">
      <c r="A7" s="6">
        <v>5</v>
      </c>
      <c r="B7">
        <f>B6*EXP(RATES!O8)*(1-DATA!$B$6)</f>
        <v>81178.572400251767</v>
      </c>
      <c r="C7">
        <f>C6*EXP(RATES!O8)*(1-DATA!$B$6)</f>
        <v>20294.643100062942</v>
      </c>
      <c r="D7">
        <f t="shared" si="1"/>
        <v>101473.21550031471</v>
      </c>
      <c r="E7">
        <f>E6*(1-'LIFE TABLE MALE'!D67/1000)</f>
        <v>0.9609215763955995</v>
      </c>
      <c r="F7">
        <f t="shared" si="2"/>
        <v>0.23490281249999997</v>
      </c>
      <c r="G7">
        <f t="shared" si="0"/>
        <v>101453.21550031471</v>
      </c>
      <c r="H7">
        <f>MAX(D7,DATA!$B$3)</f>
        <v>101473.21550031471</v>
      </c>
      <c r="I7">
        <f>G7*DATA!$B$7*F6*E7</f>
        <v>4041.2369142302991</v>
      </c>
      <c r="J7">
        <f>H7*'LIFE TABLE MALE'!D67/1000*F6*E6</f>
        <v>262.64548863470611</v>
      </c>
      <c r="K7">
        <f>0</f>
        <v>0</v>
      </c>
      <c r="L7" s="43">
        <f>DATA!$B$8*((1+DATA!$B$9)^A6)*F7*E7</f>
        <v>12.216501512493373</v>
      </c>
      <c r="M7">
        <f>B6*EXP(RATES!O8)*(DATA!$B$12)</f>
        <v>1162.0654535823362</v>
      </c>
      <c r="N7">
        <f>C6*EXP(RATES!O8)*(DATA!$B$12)</f>
        <v>290.51636339558405</v>
      </c>
      <c r="O7">
        <f t="shared" si="3"/>
        <v>1452.5818169779202</v>
      </c>
      <c r="P7">
        <f t="shared" si="4"/>
        <v>327.88138822725176</v>
      </c>
      <c r="Q7">
        <f>RATES!G8</f>
        <v>0.88174468672828554</v>
      </c>
      <c r="R7" s="43">
        <f t="shared" si="5"/>
        <v>4643.9802926047505</v>
      </c>
      <c r="S7">
        <f t="shared" si="6"/>
        <v>4094.8049482751076</v>
      </c>
      <c r="T7">
        <f>C6*EXP(RATES!O8)*(DATA!$B$6-DATA!$B$12)</f>
        <v>166.00935051176228</v>
      </c>
      <c r="U7">
        <f>B6*EXP(RATES!O8)*(DATA!$B$6-DATA!$B$12)</f>
        <v>664.03740204704911</v>
      </c>
      <c r="V7">
        <f t="shared" si="7"/>
        <v>830.04675255881136</v>
      </c>
      <c r="W7">
        <f t="shared" si="8"/>
        <v>187.36079327271526</v>
      </c>
      <c r="X7">
        <f>W7*BASE!Q7</f>
        <v>165.20438396941339</v>
      </c>
    </row>
    <row r="8" spans="1:24" x14ac:dyDescent="0.3">
      <c r="A8" s="5">
        <v>6</v>
      </c>
      <c r="B8">
        <f>B7*EXP(RATES!O9)*(1-DATA!$B$6)</f>
        <v>81192.731414463822</v>
      </c>
      <c r="C8">
        <f>C7*EXP(RATES!O9)*(1-DATA!$B$6)</f>
        <v>20298.182853615956</v>
      </c>
      <c r="D8">
        <f t="shared" si="1"/>
        <v>101490.91426807978</v>
      </c>
      <c r="E8">
        <f>E7*(1-'LIFE TABLE MALE'!D68/1000)</f>
        <v>0.95054816852958335</v>
      </c>
      <c r="F8">
        <f t="shared" si="2"/>
        <v>0.19966739062499997</v>
      </c>
      <c r="G8">
        <f t="shared" si="0"/>
        <v>101470.91426807978</v>
      </c>
      <c r="H8">
        <f>MAX(D8,DATA!$B$3)</f>
        <v>101490.91426807978</v>
      </c>
      <c r="I8">
        <f>G8*DATA!$B$7*F7*E8</f>
        <v>3398.561854238364</v>
      </c>
      <c r="J8">
        <f>H8*'LIFE TABLE MALE'!D68/1000*F7*E7</f>
        <v>247.30724272731052</v>
      </c>
      <c r="K8">
        <f>0</f>
        <v>0</v>
      </c>
      <c r="L8" s="43">
        <f>DATA!$B$8*((1+DATA!$B$9)^A7)*F8*E8</f>
        <v>10.477366476542588</v>
      </c>
      <c r="M8">
        <f>B7*EXP(RATES!O9)*(DATA!$B$12)</f>
        <v>1162.2681388573553</v>
      </c>
      <c r="N8">
        <f>C7*EXP(RATES!O9)*(DATA!$B$12)</f>
        <v>290.56703471433883</v>
      </c>
      <c r="O8">
        <f t="shared" si="3"/>
        <v>1452.8351735716942</v>
      </c>
      <c r="P8">
        <f t="shared" si="4"/>
        <v>275.73863252406562</v>
      </c>
      <c r="Q8">
        <f>RATES!G9</f>
        <v>0.86219592102620646</v>
      </c>
      <c r="R8" s="43">
        <f t="shared" si="5"/>
        <v>3932.085095966283</v>
      </c>
      <c r="S8">
        <f t="shared" si="6"/>
        <v>3390.2277308700686</v>
      </c>
      <c r="T8">
        <f>C7*EXP(RATES!O9)*(DATA!$B$6-DATA!$B$12)</f>
        <v>166.03830555105071</v>
      </c>
      <c r="U8">
        <f>B7*EXP(RATES!O9)*(DATA!$B$6-DATA!$B$12)</f>
        <v>664.15322220420285</v>
      </c>
      <c r="V8">
        <f t="shared" si="7"/>
        <v>830.19152775525356</v>
      </c>
      <c r="W8">
        <f t="shared" si="8"/>
        <v>157.56493287089461</v>
      </c>
      <c r="X8">
        <f>W8*BASE!Q8</f>
        <v>135.85184241805337</v>
      </c>
    </row>
    <row r="9" spans="1:24" x14ac:dyDescent="0.3">
      <c r="A9" s="5">
        <v>7</v>
      </c>
      <c r="B9">
        <f>B8*EXP(RATES!O10)*(1-DATA!$B$6)</f>
        <v>81254.382012178379</v>
      </c>
      <c r="C9">
        <f>C8*EXP(RATES!O10)*(1-DATA!$B$6)</f>
        <v>20313.595503044595</v>
      </c>
      <c r="D9">
        <f t="shared" si="1"/>
        <v>101567.97751522297</v>
      </c>
      <c r="E9">
        <f>E8*(1-'LIFE TABLE MALE'!D69/1000)</f>
        <v>0.93939989246654454</v>
      </c>
      <c r="F9">
        <f t="shared" si="2"/>
        <v>0.16971728203124997</v>
      </c>
      <c r="G9">
        <f t="shared" si="0"/>
        <v>101547.97751522297</v>
      </c>
      <c r="H9">
        <f>MAX(D9,DATA!$B$3)</f>
        <v>101567.97751522297</v>
      </c>
      <c r="I9">
        <f>G9*DATA!$B$7*F8*E9</f>
        <v>2857.0654259914368</v>
      </c>
      <c r="J9">
        <f>H9*'LIFE TABLE MALE'!D69/1000*F8*E8</f>
        <v>226.08495429371504</v>
      </c>
      <c r="K9">
        <f>0</f>
        <v>0</v>
      </c>
      <c r="L9" s="43">
        <f>DATA!$B$8*((1+DATA!$B$9)^A8)*F9*E9</f>
        <v>8.9773386670044886</v>
      </c>
      <c r="M9">
        <f>B8*EXP(RATES!O10)*(DATA!$B$12)</f>
        <v>1163.1506627510198</v>
      </c>
      <c r="N9">
        <f>C8*EXP(RATES!O10)*(DATA!$B$12)</f>
        <v>290.78766568775495</v>
      </c>
      <c r="O9">
        <f t="shared" si="3"/>
        <v>1453.9383284387748</v>
      </c>
      <c r="P9">
        <f t="shared" si="4"/>
        <v>231.8048720514702</v>
      </c>
      <c r="Q9">
        <f>RATES!G10</f>
        <v>0.84258782390013232</v>
      </c>
      <c r="R9" s="43">
        <f t="shared" si="5"/>
        <v>3323.9325910036264</v>
      </c>
      <c r="S9">
        <f t="shared" si="6"/>
        <v>2800.7051286444739</v>
      </c>
      <c r="T9">
        <f>C8*EXP(RATES!O10)*(DATA!$B$6-DATA!$B$12)</f>
        <v>166.1643803930028</v>
      </c>
      <c r="U9">
        <f>B8*EXP(RATES!O10)*(DATA!$B$6-DATA!$B$12)</f>
        <v>664.65752157201121</v>
      </c>
      <c r="V9">
        <f t="shared" si="7"/>
        <v>830.82190196501404</v>
      </c>
      <c r="W9">
        <f t="shared" si="8"/>
        <v>132.45992688655437</v>
      </c>
      <c r="X9">
        <f>W9*BASE!Q9</f>
        <v>111.60912154931248</v>
      </c>
    </row>
    <row r="10" spans="1:24" x14ac:dyDescent="0.3">
      <c r="A10" s="5">
        <v>8</v>
      </c>
      <c r="B10">
        <f>B9*EXP(RATES!O11)*(1-DATA!$B$6)</f>
        <v>81365.273383019157</v>
      </c>
      <c r="C10">
        <f>C9*EXP(RATES!O11)*(1-DATA!$B$6)</f>
        <v>20341.318345754789</v>
      </c>
      <c r="D10">
        <f t="shared" si="1"/>
        <v>101706.59172877394</v>
      </c>
      <c r="E10">
        <f>E9*(1-'LIFE TABLE MALE'!D70/1000)</f>
        <v>0.9273775090067512</v>
      </c>
      <c r="F10">
        <f t="shared" si="2"/>
        <v>0.14425968972656247</v>
      </c>
      <c r="G10">
        <f t="shared" si="0"/>
        <v>101686.59172877394</v>
      </c>
      <c r="H10">
        <f>MAX(D10,DATA!$B$3)</f>
        <v>101706.59172877394</v>
      </c>
      <c r="I10">
        <f>G10*DATA!$B$7*F9*E10</f>
        <v>2400.6982580215617</v>
      </c>
      <c r="J10">
        <f>H10*'LIFE TABLE MALE'!D70/1000*F9*E9</f>
        <v>207.52276485327567</v>
      </c>
      <c r="K10">
        <f>0</f>
        <v>0</v>
      </c>
      <c r="L10" s="43">
        <f>DATA!$B$8*((1+DATA!$B$9)^A9)*F10*E10</f>
        <v>7.6837417444083451</v>
      </c>
      <c r="M10">
        <f>B9*EXP(RATES!O11)*(DATA!$B$12)</f>
        <v>1164.7380647875952</v>
      </c>
      <c r="N10">
        <f>C9*EXP(RATES!O11)*(DATA!$B$12)</f>
        <v>291.18451619689881</v>
      </c>
      <c r="O10">
        <f t="shared" si="3"/>
        <v>1455.9225809844941</v>
      </c>
      <c r="P10">
        <f t="shared" si="4"/>
        <v>194.7779697648831</v>
      </c>
      <c r="Q10">
        <f>RATES!G11</f>
        <v>0.82292780659029441</v>
      </c>
      <c r="R10" s="43">
        <f t="shared" si="5"/>
        <v>2810.6827343841287</v>
      </c>
      <c r="S10">
        <f t="shared" si="6"/>
        <v>2312.9889776279419</v>
      </c>
      <c r="T10">
        <f>C9*EXP(RATES!O11)*(DATA!$B$6-DATA!$B$12)</f>
        <v>166.39115211251357</v>
      </c>
      <c r="U10">
        <f>B9*EXP(RATES!O11)*(DATA!$B$6-DATA!$B$12)</f>
        <v>665.56460845005427</v>
      </c>
      <c r="V10">
        <f t="shared" si="7"/>
        <v>831.95576056256778</v>
      </c>
      <c r="W10">
        <f t="shared" si="8"/>
        <v>111.30169700850458</v>
      </c>
      <c r="X10">
        <f>W10*BASE!Q10</f>
        <v>91.593261388986207</v>
      </c>
    </row>
    <row r="11" spans="1:24" x14ac:dyDescent="0.3">
      <c r="A11" s="5">
        <v>9</v>
      </c>
      <c r="B11">
        <f>B10*EXP(RATES!O12)*(1-DATA!$B$6)</f>
        <v>81523.24029763104</v>
      </c>
      <c r="C11">
        <f>C10*EXP(RATES!O12)*(1-DATA!$B$6)</f>
        <v>20380.81007440776</v>
      </c>
      <c r="D11">
        <f t="shared" si="1"/>
        <v>101904.05037203879</v>
      </c>
      <c r="E11">
        <f>E10*(1-'LIFE TABLE MALE'!D71/1000)</f>
        <v>0.91441741759215689</v>
      </c>
      <c r="F11">
        <f t="shared" si="2"/>
        <v>0.12262073626757809</v>
      </c>
      <c r="G11">
        <f t="shared" si="0"/>
        <v>101884.05037203879</v>
      </c>
      <c r="H11">
        <f>MAX(D11,DATA!$B$3)</f>
        <v>101904.05037203879</v>
      </c>
      <c r="I11">
        <f>G11*DATA!$B$7*F10*E11</f>
        <v>2015.9833665630026</v>
      </c>
      <c r="J11">
        <f>H11*'LIFE TABLE MALE'!D71/1000*F10*E10</f>
        <v>190.52172493726437</v>
      </c>
      <c r="K11">
        <f>0</f>
        <v>0</v>
      </c>
      <c r="L11" s="43">
        <f>DATA!$B$8*((1+DATA!$B$9)^A10)*F11*E11</f>
        <v>6.5687054468287585</v>
      </c>
      <c r="M11">
        <f>B10*EXP(RATES!O12)*(DATA!$B$12)</f>
        <v>1166.9993498638389</v>
      </c>
      <c r="N11">
        <f>C10*EXP(RATES!O12)*(DATA!$B$12)</f>
        <v>291.74983746595973</v>
      </c>
      <c r="O11">
        <f t="shared" si="3"/>
        <v>1458.7491873297986</v>
      </c>
      <c r="P11">
        <f t="shared" si="4"/>
        <v>163.5644947283829</v>
      </c>
      <c r="Q11">
        <f>RATES!G12</f>
        <v>0.80326389514893892</v>
      </c>
      <c r="R11" s="43">
        <f t="shared" si="5"/>
        <v>2376.6382916754787</v>
      </c>
      <c r="S11">
        <f t="shared" si="6"/>
        <v>1909.0677315313651</v>
      </c>
      <c r="T11">
        <f>C10*EXP(RATES!O12)*(DATA!$B$6-DATA!$B$12)</f>
        <v>166.71419283769126</v>
      </c>
      <c r="U11">
        <f>B10*EXP(RATES!O12)*(DATA!$B$6-DATA!$B$12)</f>
        <v>666.85677135076503</v>
      </c>
      <c r="V11">
        <f t="shared" si="7"/>
        <v>833.57096418845629</v>
      </c>
      <c r="W11">
        <f t="shared" si="8"/>
        <v>93.465425559075953</v>
      </c>
      <c r="X11">
        <f>W11*BASE!Q11</f>
        <v>75.077401796336545</v>
      </c>
    </row>
    <row r="12" spans="1:24" x14ac:dyDescent="0.3">
      <c r="A12" s="6">
        <v>10</v>
      </c>
      <c r="B12">
        <f>B11*EXP(RATES!O13)*(1-DATA!$B$6)</f>
        <v>81742.119978905175</v>
      </c>
      <c r="C12">
        <f>C11*EXP(RATES!O13)*(1-DATA!$B$6)</f>
        <v>20435.529994726294</v>
      </c>
      <c r="D12">
        <f t="shared" si="1"/>
        <v>102177.64997363147</v>
      </c>
      <c r="E12">
        <f>E11*(1-'LIFE TABLE MALE'!D72/1000)</f>
        <v>0.90009759511179277</v>
      </c>
      <c r="F12">
        <f t="shared" si="2"/>
        <v>0.10422762582744137</v>
      </c>
      <c r="G12">
        <f t="shared" si="0"/>
        <v>102157.64997363147</v>
      </c>
      <c r="H12">
        <f>MAX(D12,DATA!$B$3)</f>
        <v>102177.64997363147</v>
      </c>
      <c r="I12">
        <f>G12*DATA!$B$7*F11*E12</f>
        <v>1691.2806253590984</v>
      </c>
      <c r="J12">
        <f>H12*'LIFE TABLE MALE'!D72/1000*F11*E11</f>
        <v>179.41446879132587</v>
      </c>
      <c r="K12">
        <f>0</f>
        <v>0</v>
      </c>
      <c r="L12" s="43">
        <f>DATA!$B$8*((1+DATA!$B$9)^A11)*F12*E12</f>
        <v>5.605882578680359</v>
      </c>
      <c r="M12">
        <f>B11*EXP(RATES!O13)*(DATA!$B$12)</f>
        <v>1170.1325968350434</v>
      </c>
      <c r="N12">
        <f>C11*EXP(RATES!O13)*(DATA!$B$12)</f>
        <v>292.53314920876085</v>
      </c>
      <c r="O12">
        <f t="shared" si="3"/>
        <v>1462.6657460438041</v>
      </c>
      <c r="P12">
        <f t="shared" si="4"/>
        <v>137.22003867251553</v>
      </c>
      <c r="Q12">
        <f>RATES!G13</f>
        <v>0.78348852098697186</v>
      </c>
      <c r="R12" s="43">
        <f t="shared" si="5"/>
        <v>2013.5210154016202</v>
      </c>
      <c r="S12">
        <f t="shared" si="6"/>
        <v>1577.5706023332011</v>
      </c>
      <c r="T12">
        <f>C11*EXP(RATES!O13)*(DATA!$B$6-DATA!$B$12)</f>
        <v>167.1617995478633</v>
      </c>
      <c r="U12">
        <f>B11*EXP(RATES!O13)*(DATA!$B$6-DATA!$B$12)</f>
        <v>668.64719819145319</v>
      </c>
      <c r="V12">
        <f t="shared" si="7"/>
        <v>835.80899773931651</v>
      </c>
      <c r="W12">
        <f t="shared" si="8"/>
        <v>78.411450670008875</v>
      </c>
      <c r="X12">
        <f>W12*BASE!Q12</f>
        <v>61.434471513888155</v>
      </c>
    </row>
    <row r="13" spans="1:24" x14ac:dyDescent="0.3">
      <c r="A13" s="5">
        <v>11</v>
      </c>
      <c r="B13">
        <f>B12*EXP(RATES!O14)*(1-DATA!$B$6)</f>
        <v>82068.023997806304</v>
      </c>
      <c r="C13">
        <f>C12*EXP(RATES!O14)*(1-DATA!$B$6)</f>
        <v>20517.005999451576</v>
      </c>
      <c r="D13">
        <f t="shared" si="1"/>
        <v>102585.02999725788</v>
      </c>
      <c r="E13">
        <f>E12*(1-'LIFE TABLE MALE'!D73/1000)</f>
        <v>0.88436966777579928</v>
      </c>
      <c r="F13">
        <f t="shared" si="2"/>
        <v>8.8593481953325157E-2</v>
      </c>
      <c r="G13">
        <f t="shared" si="0"/>
        <v>102565.02999725788</v>
      </c>
      <c r="H13">
        <f>MAX(D13,DATA!$B$3)</f>
        <v>102585.02999725788</v>
      </c>
      <c r="I13">
        <f>G13*DATA!$B$7*F12*E13</f>
        <v>1418.101297274417</v>
      </c>
      <c r="J13">
        <f>H13*'LIFE TABLE MALE'!D73/1000*F12*E12</f>
        <v>168.16605221395582</v>
      </c>
      <c r="K13">
        <f>0</f>
        <v>0</v>
      </c>
      <c r="L13" s="43">
        <f>DATA!$B$8*((1+DATA!$B$9)^A12)*F13*E13</f>
        <v>4.7753733514220142</v>
      </c>
      <c r="M13">
        <f>B12*EXP(RATES!O14)*(DATA!$B$12)</f>
        <v>1174.7978895391495</v>
      </c>
      <c r="N13">
        <f>C12*EXP(RATES!O14)*(DATA!$B$12)</f>
        <v>293.69947238478738</v>
      </c>
      <c r="O13">
        <f t="shared" si="3"/>
        <v>1468.497361923937</v>
      </c>
      <c r="P13">
        <f t="shared" si="4"/>
        <v>115.05586988323144</v>
      </c>
      <c r="Q13">
        <f>RATES!G14</f>
        <v>0.76320887666583526</v>
      </c>
      <c r="R13" s="43">
        <f t="shared" si="5"/>
        <v>1706.0985927230263</v>
      </c>
      <c r="S13">
        <f t="shared" si="6"/>
        <v>1302.1095904333033</v>
      </c>
      <c r="T13">
        <f>C12*EXP(RATES!O14)*(DATA!$B$6-DATA!$B$12)</f>
        <v>167.82826993416418</v>
      </c>
      <c r="U13">
        <f>B12*EXP(RATES!O14)*(DATA!$B$6-DATA!$B$12)</f>
        <v>671.31307973665673</v>
      </c>
      <c r="V13">
        <f t="shared" si="7"/>
        <v>839.14134967082089</v>
      </c>
      <c r="W13">
        <f t="shared" si="8"/>
        <v>65.74621136184652</v>
      </c>
      <c r="X13">
        <f>W13*BASE!Q13</f>
        <v>50.178092118509454</v>
      </c>
    </row>
    <row r="14" spans="1:24" x14ac:dyDescent="0.3">
      <c r="A14" s="5">
        <v>12</v>
      </c>
      <c r="B14">
        <f>B13*EXP(RATES!O15)*(1-DATA!$B$6)</f>
        <v>82258.656528029838</v>
      </c>
      <c r="C14">
        <f>C13*EXP(RATES!O15)*(1-DATA!$B$6)</f>
        <v>20564.66413200746</v>
      </c>
      <c r="D14">
        <f t="shared" si="1"/>
        <v>102823.32066003729</v>
      </c>
      <c r="E14">
        <f>E13*(1-'LIFE TABLE MALE'!D74/1000)</f>
        <v>0.86691443914546784</v>
      </c>
      <c r="F14">
        <f t="shared" si="2"/>
        <v>7.5304459660326381E-2</v>
      </c>
      <c r="G14">
        <f t="shared" si="0"/>
        <v>102803.32066003729</v>
      </c>
      <c r="H14">
        <f>MAX(D14,DATA!$B$3)</f>
        <v>102823.32066003729</v>
      </c>
      <c r="I14">
        <f>G14*DATA!$B$7*F13*E14</f>
        <v>1184.3400331372056</v>
      </c>
      <c r="J14">
        <f>H14*'LIFE TABLE MALE'!D74/1000*F13*E13</f>
        <v>159.00798633970049</v>
      </c>
      <c r="K14">
        <f>0</f>
        <v>0</v>
      </c>
      <c r="L14" s="43">
        <f>DATA!$B$8*((1+DATA!$B$9)^A13)*F14*E14</f>
        <v>4.0585306198568185</v>
      </c>
      <c r="M14">
        <f>B13*EXP(RATES!O15)*(DATA!$B$12)</f>
        <v>1177.5267805648443</v>
      </c>
      <c r="N14">
        <f>C13*EXP(RATES!O15)*(DATA!$B$12)</f>
        <v>294.38169514121108</v>
      </c>
      <c r="O14">
        <f t="shared" si="3"/>
        <v>1471.9084757060555</v>
      </c>
      <c r="P14">
        <f t="shared" si="4"/>
        <v>96.089899524990003</v>
      </c>
      <c r="Q14">
        <f>RATES!G15</f>
        <v>0.74468847430975171</v>
      </c>
      <c r="R14" s="44">
        <f t="shared" si="5"/>
        <v>1443.4964496217531</v>
      </c>
      <c r="S14">
        <f t="shared" si="6"/>
        <v>1074.9551687403666</v>
      </c>
      <c r="T14">
        <f>C13*EXP(RATES!O15)*(DATA!$B$6-DATA!$B$12)</f>
        <v>168.21811150926345</v>
      </c>
      <c r="U14">
        <f>B13*EXP(RATES!O15)*(DATA!$B$6-DATA!$B$12)</f>
        <v>672.87244603705381</v>
      </c>
      <c r="V14">
        <f t="shared" si="7"/>
        <v>841.09055754631731</v>
      </c>
      <c r="W14">
        <f t="shared" si="8"/>
        <v>54.908514014279994</v>
      </c>
      <c r="X14">
        <f>W14*BASE!Q14</f>
        <v>40.889737527909787</v>
      </c>
    </row>
    <row r="15" spans="1:24" x14ac:dyDescent="0.3">
      <c r="A15" s="5">
        <v>13</v>
      </c>
      <c r="B15">
        <f>B14*EXP(RATES!O16)*(1-DATA!$B$6)</f>
        <v>82502.039008492662</v>
      </c>
      <c r="C15">
        <f>C14*EXP(RATES!O16)*(1-DATA!$B$6)</f>
        <v>20625.509752123166</v>
      </c>
      <c r="D15">
        <f t="shared" si="1"/>
        <v>103127.54876061583</v>
      </c>
      <c r="E15">
        <f>E14*(1-'LIFE TABLE MALE'!D75/1000)</f>
        <v>0.84808352308867097</v>
      </c>
      <c r="F15">
        <f t="shared" si="2"/>
        <v>6.4008790711277422E-2</v>
      </c>
      <c r="G15">
        <f t="shared" si="0"/>
        <v>103107.54876061583</v>
      </c>
      <c r="H15">
        <f>MAX(D15,DATA!$B$3)</f>
        <v>103127.54876061583</v>
      </c>
      <c r="I15">
        <f>G15*DATA!$B$7*F14*E15</f>
        <v>987.73636566195637</v>
      </c>
      <c r="J15">
        <f>H15*'LIFE TABLE MALE'!D75/1000*F14*E14</f>
        <v>146.24022250210714</v>
      </c>
      <c r="K15">
        <f>0</f>
        <v>0</v>
      </c>
      <c r="L15" s="43">
        <f>DATA!$B$8*((1+DATA!$B$9)^A14)*F15*E15</f>
        <v>3.4423126550854857</v>
      </c>
      <c r="M15">
        <f>B14*EXP(RATES!O16)*(DATA!$B$12)</f>
        <v>1181.0107833526558</v>
      </c>
      <c r="N15">
        <f>C14*EXP(RATES!O16)*(DATA!$B$12)</f>
        <v>295.25269583816396</v>
      </c>
      <c r="O15">
        <f t="shared" si="3"/>
        <v>1476.2634791908199</v>
      </c>
      <c r="P15">
        <f t="shared" si="4"/>
        <v>80.138668800328247</v>
      </c>
      <c r="Q15">
        <f>RATES!G16</f>
        <v>0.72615681422166556</v>
      </c>
      <c r="R15" s="44">
        <f t="shared" si="5"/>
        <v>1217.5575696194774</v>
      </c>
      <c r="S15">
        <f t="shared" si="6"/>
        <v>884.13772588635345</v>
      </c>
      <c r="T15">
        <f>C14*EXP(RATES!O16)*(DATA!$B$6-DATA!$B$12)</f>
        <v>168.7158261932365</v>
      </c>
      <c r="U15">
        <f>B14*EXP(RATES!O16)*(DATA!$B$6-DATA!$B$12)</f>
        <v>674.86330477294598</v>
      </c>
      <c r="V15">
        <f t="shared" si="7"/>
        <v>843.57913096618245</v>
      </c>
      <c r="W15">
        <f t="shared" si="8"/>
        <v>45.793525028758985</v>
      </c>
      <c r="X15">
        <f>W15*BASE!Q15</f>
        <v>33.253280246863731</v>
      </c>
    </row>
    <row r="16" spans="1:24" x14ac:dyDescent="0.3">
      <c r="A16" s="5">
        <v>14</v>
      </c>
      <c r="B16">
        <f>B15*EXP(RATES!O17)*(1-DATA!$B$6)</f>
        <v>82776.822411940768</v>
      </c>
      <c r="C16">
        <f>C15*EXP(RATES!O17)*(1-DATA!$B$6)</f>
        <v>20694.205602985192</v>
      </c>
      <c r="D16">
        <f t="shared" si="1"/>
        <v>103471.02801492596</v>
      </c>
      <c r="E16">
        <f>E15*(1-'LIFE TABLE MALE'!D76/1000)</f>
        <v>0.82779649169036118</v>
      </c>
      <c r="F16">
        <f t="shared" si="2"/>
        <v>5.4407472104585804E-2</v>
      </c>
      <c r="G16">
        <f t="shared" si="0"/>
        <v>103451.02801492596</v>
      </c>
      <c r="H16">
        <f>MAX(D16,DATA!$B$3)</f>
        <v>103471.02801492596</v>
      </c>
      <c r="I16">
        <f>G16*DATA!$B$7*F15*E16</f>
        <v>822.22234203168068</v>
      </c>
      <c r="J16">
        <f>H16*'LIFE TABLE MALE'!D76/1000*F15*E15</f>
        <v>134.36213238367375</v>
      </c>
      <c r="K16">
        <f>0</f>
        <v>0</v>
      </c>
      <c r="L16" s="43">
        <f>DATA!$B$8*((1+DATA!$B$9)^A15)*F16*E16</f>
        <v>2.9130931150182291</v>
      </c>
      <c r="M16">
        <f>B15*EXP(RATES!O17)*(DATA!$B$12)</f>
        <v>1184.9442881054915</v>
      </c>
      <c r="N16">
        <f>C15*EXP(RATES!O17)*(DATA!$B$12)</f>
        <v>296.23607202637288</v>
      </c>
      <c r="O16">
        <f t="shared" si="3"/>
        <v>1481.1803601318643</v>
      </c>
      <c r="P16">
        <f t="shared" si="4"/>
        <v>66.709866935155105</v>
      </c>
      <c r="Q16">
        <f>RATES!G17</f>
        <v>0.70782386801134656</v>
      </c>
      <c r="R16" s="44">
        <f t="shared" si="5"/>
        <v>1026.2074344655277</v>
      </c>
      <c r="S16">
        <f t="shared" si="6"/>
        <v>726.37411564539025</v>
      </c>
      <c r="T16">
        <f>C15*EXP(RATES!O17)*(DATA!$B$6-DATA!$B$12)</f>
        <v>169.27775544364161</v>
      </c>
      <c r="U16">
        <f>B15*EXP(RATES!O17)*(DATA!$B$6-DATA!$B$12)</f>
        <v>677.11102177456644</v>
      </c>
      <c r="V16">
        <f t="shared" si="7"/>
        <v>846.38877721820802</v>
      </c>
      <c r="W16">
        <f t="shared" si="8"/>
        <v>38.119923962945769</v>
      </c>
      <c r="X16">
        <f>W16*BASE!Q16</f>
        <v>26.982192027750692</v>
      </c>
    </row>
    <row r="17" spans="1:24" x14ac:dyDescent="0.3">
      <c r="A17" s="6">
        <v>15</v>
      </c>
      <c r="B17">
        <f>B16*EXP(RATES!O18)*(1-DATA!$B$6)</f>
        <v>82966.673538954565</v>
      </c>
      <c r="C17">
        <f>C16*EXP(RATES!O18)*(1-DATA!$B$6)</f>
        <v>20741.668384738641</v>
      </c>
      <c r="D17">
        <f t="shared" si="1"/>
        <v>103708.34192369321</v>
      </c>
      <c r="E17">
        <f>E16*(1-'LIFE TABLE MALE'!D77/1000)</f>
        <v>0.80629125769035137</v>
      </c>
      <c r="F17">
        <f t="shared" si="2"/>
        <v>4.6246351288897931E-2</v>
      </c>
      <c r="G17">
        <f t="shared" si="0"/>
        <v>103688.34192369321</v>
      </c>
      <c r="H17">
        <f>MAX(D17,DATA!$B$3)</f>
        <v>103708.34192369321</v>
      </c>
      <c r="I17">
        <f>G17*DATA!$B$7*F16*E17</f>
        <v>682.29421307665882</v>
      </c>
      <c r="J17">
        <f>H17*'LIFE TABLE MALE'!D77/1000*F16*E16</f>
        <v>121.34347037555997</v>
      </c>
      <c r="K17">
        <f>0</f>
        <v>0</v>
      </c>
      <c r="L17" s="43">
        <f>DATA!$B$8*((1+DATA!$B$9)^A16)*F17*E17</f>
        <v>2.4600381022300999</v>
      </c>
      <c r="M17">
        <f>B16*EXP(RATES!O18)*(DATA!$B$12)</f>
        <v>1187.6619934001676</v>
      </c>
      <c r="N17">
        <f>C16*EXP(RATES!O18)*(DATA!$B$12)</f>
        <v>296.9154983500419</v>
      </c>
      <c r="O17">
        <f t="shared" si="3"/>
        <v>1484.5774917502094</v>
      </c>
      <c r="P17">
        <f t="shared" si="4"/>
        <v>55.356968185545341</v>
      </c>
      <c r="Q17">
        <f>RATES!G18</f>
        <v>0.6906676758678868</v>
      </c>
      <c r="R17" s="44">
        <f t="shared" si="5"/>
        <v>861.45468973999425</v>
      </c>
      <c r="S17">
        <f t="shared" si="6"/>
        <v>594.97890842821334</v>
      </c>
      <c r="T17">
        <f>C16*EXP(RATES!O18)*(DATA!$B$6-DATA!$B$12)</f>
        <v>169.66599905716677</v>
      </c>
      <c r="U17">
        <f>B16*EXP(RATES!O18)*(DATA!$B$6-DATA!$B$12)</f>
        <v>678.66399622866709</v>
      </c>
      <c r="V17">
        <f t="shared" si="7"/>
        <v>848.32999528583389</v>
      </c>
      <c r="W17">
        <f t="shared" si="8"/>
        <v>31.632553248883049</v>
      </c>
      <c r="X17">
        <f>W17*BASE!Q17</f>
        <v>21.847582034173229</v>
      </c>
    </row>
    <row r="18" spans="1:24" x14ac:dyDescent="0.3">
      <c r="A18" s="5">
        <v>16</v>
      </c>
      <c r="B18">
        <f>B17*EXP(RATES!O19)*(1-DATA!$B$6)</f>
        <v>83012.664280582845</v>
      </c>
      <c r="C18">
        <f>C17*EXP(RATES!O19)*(1-DATA!$B$6)</f>
        <v>20753.166070145711</v>
      </c>
      <c r="D18">
        <f t="shared" si="1"/>
        <v>103765.83035072856</v>
      </c>
      <c r="E18">
        <f>E17*(1-'LIFE TABLE MALE'!D78/1000)</f>
        <v>0.78272955654492149</v>
      </c>
      <c r="F18">
        <f t="shared" si="2"/>
        <v>3.930939859556324E-2</v>
      </c>
      <c r="G18">
        <f t="shared" si="0"/>
        <v>103745.83035072856</v>
      </c>
      <c r="H18">
        <f>MAX(D18,DATA!$B$3)</f>
        <v>103765.83035072856</v>
      </c>
      <c r="I18">
        <f>G18*DATA!$B$7*F17*E18</f>
        <v>563.31474250195265</v>
      </c>
      <c r="J18">
        <f>H18*'LIFE TABLE MALE'!D78/1000*F17*E17</f>
        <v>113.06768039530505</v>
      </c>
      <c r="K18">
        <f>0</f>
        <v>0</v>
      </c>
      <c r="L18" s="43">
        <f>DATA!$B$8*((1+DATA!$B$9)^A17)*F18*E18</f>
        <v>2.070526120742465</v>
      </c>
      <c r="M18">
        <f>B17*EXP(RATES!O19)*(DATA!$B$12)</f>
        <v>1188.3203475748055</v>
      </c>
      <c r="N18">
        <f>C17*EXP(RATES!O19)*(DATA!$B$12)</f>
        <v>297.08008689370138</v>
      </c>
      <c r="O18">
        <f t="shared" si="3"/>
        <v>1485.4004344685068</v>
      </c>
      <c r="P18">
        <f t="shared" si="4"/>
        <v>45.70373359342009</v>
      </c>
      <c r="Q18">
        <f>RATES!G19</f>
        <v>0.67509876092267374</v>
      </c>
      <c r="R18" s="44">
        <f t="shared" si="5"/>
        <v>724.15668261142025</v>
      </c>
      <c r="S18">
        <f t="shared" si="6"/>
        <v>488.87727914484373</v>
      </c>
      <c r="T18">
        <f>C17*EXP(RATES!O19)*(DATA!$B$6-DATA!$B$12)</f>
        <v>169.76004965354363</v>
      </c>
      <c r="U18">
        <f>B17*EXP(RATES!O19)*(DATA!$B$6-DATA!$B$12)</f>
        <v>679.04019861417453</v>
      </c>
      <c r="V18">
        <f t="shared" si="7"/>
        <v>848.80024826771819</v>
      </c>
      <c r="W18">
        <f t="shared" si="8"/>
        <v>26.116419196240056</v>
      </c>
      <c r="X18">
        <f>W18*BASE!Q18</f>
        <v>17.631162239118794</v>
      </c>
    </row>
    <row r="19" spans="1:24" x14ac:dyDescent="0.3">
      <c r="A19" s="5">
        <v>17</v>
      </c>
      <c r="B19">
        <f>B18*EXP(RATES!O20)*(1-DATA!$B$6)</f>
        <v>82929.076023361471</v>
      </c>
      <c r="C19">
        <f>C18*EXP(RATES!O20)*(1-DATA!$B$6)</f>
        <v>20732.269005840368</v>
      </c>
      <c r="D19">
        <f t="shared" si="1"/>
        <v>103661.34502920184</v>
      </c>
      <c r="E19">
        <f>E18*(1-'LIFE TABLE MALE'!D79/1000)</f>
        <v>0.75700168217713715</v>
      </c>
      <c r="F19">
        <f t="shared" si="2"/>
        <v>3.3412988806228755E-2</v>
      </c>
      <c r="G19">
        <f t="shared" si="0"/>
        <v>103641.34502920184</v>
      </c>
      <c r="H19">
        <f>MAX(D19,DATA!$B$3)</f>
        <v>103661.34502920184</v>
      </c>
      <c r="I19">
        <f>G19*DATA!$B$7*F18*E19</f>
        <v>462.61269194572179</v>
      </c>
      <c r="J19">
        <f>H19*'LIFE TABLE MALE'!D79/1000*F18*E18</f>
        <v>104.837618148446</v>
      </c>
      <c r="K19">
        <f>0</f>
        <v>0</v>
      </c>
      <c r="L19" s="43">
        <f>DATA!$B$8*((1+DATA!$B$9)^A18)*F19*E19</f>
        <v>1.7361407160755273</v>
      </c>
      <c r="M19">
        <f>B18*EXP(RATES!O20)*(DATA!$B$12)</f>
        <v>1187.1237876554812</v>
      </c>
      <c r="N19">
        <f>C18*EXP(RATES!O20)*(DATA!$B$12)</f>
        <v>296.78094691387031</v>
      </c>
      <c r="O19">
        <f t="shared" si="3"/>
        <v>1483.9047345693516</v>
      </c>
      <c r="P19">
        <f t="shared" si="4"/>
        <v>37.533424465445613</v>
      </c>
      <c r="Q19">
        <f>RATES!G20</f>
        <v>0.66091208289531467</v>
      </c>
      <c r="R19" s="44">
        <f t="shared" si="5"/>
        <v>606.71987527568899</v>
      </c>
      <c r="S19">
        <f t="shared" si="6"/>
        <v>400.98849650244114</v>
      </c>
      <c r="T19">
        <f>C18*EXP(RATES!O20)*(DATA!$B$6-DATA!$B$12)</f>
        <v>169.58911252221156</v>
      </c>
      <c r="U19">
        <f>B18*EXP(RATES!O20)*(DATA!$B$6-DATA!$B$12)</f>
        <v>678.35645008884626</v>
      </c>
      <c r="V19">
        <f t="shared" si="7"/>
        <v>847.94556261105777</v>
      </c>
      <c r="W19">
        <f t="shared" si="8"/>
        <v>21.447671123111771</v>
      </c>
      <c r="X19">
        <f>W19*BASE!Q19</f>
        <v>14.175024995229494</v>
      </c>
    </row>
    <row r="20" spans="1:24" x14ac:dyDescent="0.3">
      <c r="A20" s="5">
        <v>18</v>
      </c>
      <c r="B20">
        <f>B19*EXP(RATES!O21)*(1-DATA!$B$6)</f>
        <v>82813.18390319946</v>
      </c>
      <c r="C20">
        <f>C19*EXP(RATES!O21)*(1-DATA!$B$6)</f>
        <v>20703.295975799865</v>
      </c>
      <c r="D20">
        <f t="shared" si="1"/>
        <v>103516.47987899932</v>
      </c>
      <c r="E20">
        <f>E19*(1-'LIFE TABLE MALE'!D80/1000)</f>
        <v>0.72857800254523786</v>
      </c>
      <c r="F20">
        <f t="shared" si="2"/>
        <v>2.8401040485294442E-2</v>
      </c>
      <c r="G20">
        <f t="shared" si="0"/>
        <v>103496.47987899932</v>
      </c>
      <c r="H20">
        <f>MAX(D20,DATA!$B$3)</f>
        <v>103516.47987899932</v>
      </c>
      <c r="I20">
        <f>G20*DATA!$B$7*F19*E20</f>
        <v>377.92725913318077</v>
      </c>
      <c r="J20">
        <f>H20*'LIFE TABLE MALE'!D80/1000*F19*E19</f>
        <v>98.311680522208178</v>
      </c>
      <c r="K20">
        <f>0</f>
        <v>0</v>
      </c>
      <c r="L20" s="43">
        <f>DATA!$B$8*((1+DATA!$B$9)^A19)*F20*E20</f>
        <v>1.4487159110918968</v>
      </c>
      <c r="M20">
        <f>B19*EXP(RATES!O21)*(DATA!$B$12)</f>
        <v>1185.464800250299</v>
      </c>
      <c r="N20">
        <f>C19*EXP(RATES!O21)*(DATA!$B$12)</f>
        <v>296.36620006257476</v>
      </c>
      <c r="O20">
        <f t="shared" si="3"/>
        <v>1481.8310003128738</v>
      </c>
      <c r="P20">
        <f t="shared" si="4"/>
        <v>30.662600295606168</v>
      </c>
      <c r="Q20">
        <f>RATES!G21</f>
        <v>0.64727657622441381</v>
      </c>
      <c r="R20" s="44">
        <f t="shared" si="5"/>
        <v>508.35025586208701</v>
      </c>
      <c r="S20">
        <f t="shared" si="6"/>
        <v>329.04321313721641</v>
      </c>
      <c r="T20">
        <f>C19*EXP(RATES!O21)*(DATA!$B$6-DATA!$B$12)</f>
        <v>169.35211432147125</v>
      </c>
      <c r="U20">
        <f>B19*EXP(RATES!O21)*(DATA!$B$6-DATA!$B$12)</f>
        <v>677.40845728588499</v>
      </c>
      <c r="V20">
        <f t="shared" si="7"/>
        <v>846.76057160735627</v>
      </c>
      <c r="W20">
        <f t="shared" si="8"/>
        <v>17.521485883203521</v>
      </c>
      <c r="X20">
        <f>W20*BASE!Q20</f>
        <v>11.341247392844375</v>
      </c>
    </row>
    <row r="21" spans="1:24" x14ac:dyDescent="0.3">
      <c r="A21" s="5">
        <v>19</v>
      </c>
      <c r="B21">
        <f>B20*EXP(RATES!O22)*(1-DATA!$B$6)</f>
        <v>82680.449851873433</v>
      </c>
      <c r="C21">
        <f>C20*EXP(RATES!O22)*(1-DATA!$B$6)</f>
        <v>20670.112462968358</v>
      </c>
      <c r="D21">
        <f t="shared" si="1"/>
        <v>103350.56231484179</v>
      </c>
      <c r="E21">
        <f>E20*(1-'LIFE TABLE MALE'!D81/1000)</f>
        <v>0.69834190615291014</v>
      </c>
      <c r="F21">
        <f t="shared" si="2"/>
        <v>2.4140884412500275E-2</v>
      </c>
      <c r="G21">
        <f t="shared" si="0"/>
        <v>103330.56231484179</v>
      </c>
      <c r="H21">
        <f>MAX(D21,DATA!$B$3)</f>
        <v>103350.56231484179</v>
      </c>
      <c r="I21">
        <f>G21*DATA!$B$7*F20*E21</f>
        <v>307.41312570688262</v>
      </c>
      <c r="J21">
        <f>H21*'LIFE TABLE MALE'!D81/1000*F20*E20</f>
        <v>88.750910258392494</v>
      </c>
      <c r="K21">
        <f>0</f>
        <v>0</v>
      </c>
      <c r="L21" s="43">
        <f>DATA!$B$8*((1+DATA!$B$9)^A20)*F21*E21</f>
        <v>1.203910983672128</v>
      </c>
      <c r="M21">
        <f>B20*EXP(RATES!O22)*(DATA!$B$12)</f>
        <v>1183.5647218059592</v>
      </c>
      <c r="N21">
        <f>C20*EXP(RATES!O22)*(DATA!$B$12)</f>
        <v>295.89118045148979</v>
      </c>
      <c r="O21">
        <f t="shared" si="3"/>
        <v>1479.455902257449</v>
      </c>
      <c r="P21">
        <f t="shared" si="4"/>
        <v>24.94154230909237</v>
      </c>
      <c r="Q21">
        <f>RATES!G22</f>
        <v>0.63405275958074025</v>
      </c>
      <c r="R21" s="44">
        <f t="shared" si="5"/>
        <v>422.3094892580396</v>
      </c>
      <c r="S21">
        <f t="shared" si="6"/>
        <v>267.76649706119298</v>
      </c>
      <c r="T21">
        <f>C20*EXP(RATES!O22)*(DATA!$B$6-DATA!$B$12)</f>
        <v>169.08067454370843</v>
      </c>
      <c r="U21">
        <f>B20*EXP(RATES!O22)*(DATA!$B$6-DATA!$B$12)</f>
        <v>676.3226981748337</v>
      </c>
      <c r="V21">
        <f t="shared" si="7"/>
        <v>845.40337271854219</v>
      </c>
      <c r="W21">
        <f t="shared" si="8"/>
        <v>14.252309890909926</v>
      </c>
      <c r="X21">
        <f>W21*BASE!Q21</f>
        <v>9.0367164167313181</v>
      </c>
    </row>
    <row r="22" spans="1:24" x14ac:dyDescent="0.3">
      <c r="A22" s="6">
        <v>20</v>
      </c>
      <c r="B22">
        <f>B21*EXP(RATES!O23)*(1-DATA!$B$6)</f>
        <v>82630.136364810009</v>
      </c>
      <c r="C22">
        <f>C21*EXP(RATES!O23)*(1-DATA!$B$6)</f>
        <v>20657.534091202502</v>
      </c>
      <c r="D22">
        <f t="shared" si="1"/>
        <v>103287.67045601251</v>
      </c>
      <c r="E22">
        <f>E21*(1-'LIFE TABLE MALE'!D82/1000)</f>
        <v>0.66548978691150162</v>
      </c>
      <c r="F22">
        <f t="shared" si="2"/>
        <v>2.0519751750625231E-2</v>
      </c>
      <c r="G22">
        <f t="shared" si="0"/>
        <v>103267.67045601251</v>
      </c>
      <c r="H22">
        <f>MAX(D22,DATA!$B$3)</f>
        <v>103287.67045601251</v>
      </c>
      <c r="I22">
        <f>G22*DATA!$B$7*F21*E22</f>
        <v>248.85720020295039</v>
      </c>
      <c r="J22">
        <f>H22*'LIFE TABLE MALE'!D82/1000*F21*E21</f>
        <v>81.915304430137198</v>
      </c>
      <c r="K22">
        <f>0</f>
        <v>0</v>
      </c>
      <c r="L22" s="43">
        <f>DATA!$B$8*((1+DATA!$B$9)^A21)*F22*E22</f>
        <v>0.99468773985097247</v>
      </c>
      <c r="M22">
        <f>B21*EXP(RATES!O23)*(DATA!$B$12)</f>
        <v>1182.8444878398161</v>
      </c>
      <c r="N22">
        <f>C21*EXP(RATES!O23)*(DATA!$B$12)</f>
        <v>295.71112195995403</v>
      </c>
      <c r="O22">
        <f t="shared" si="3"/>
        <v>1478.5556097997701</v>
      </c>
      <c r="P22">
        <f t="shared" si="4"/>
        <v>20.190689987691545</v>
      </c>
      <c r="Q22">
        <f>RATES!G23</f>
        <v>0.62048117992903407</v>
      </c>
      <c r="R22" s="44">
        <f t="shared" si="5"/>
        <v>351.95788236063009</v>
      </c>
      <c r="S22">
        <f t="shared" si="6"/>
        <v>218.38324213244792</v>
      </c>
      <c r="T22">
        <f>C21*EXP(RATES!O23)*(DATA!$B$6-DATA!$B$12)</f>
        <v>168.97778397711653</v>
      </c>
      <c r="U22">
        <f>B21*EXP(RATES!O23)*(DATA!$B$6-DATA!$B$12)</f>
        <v>675.91113590846612</v>
      </c>
      <c r="V22">
        <f t="shared" si="7"/>
        <v>844.88891988558271</v>
      </c>
      <c r="W22">
        <f t="shared" si="8"/>
        <v>11.537537135823737</v>
      </c>
      <c r="X22">
        <f>W22*BASE!Q22</f>
        <v>7.1588246555109603</v>
      </c>
    </row>
    <row r="23" spans="1:24" x14ac:dyDescent="0.3">
      <c r="A23" s="5">
        <v>21</v>
      </c>
      <c r="B23">
        <f>B22*EXP(RATES!O24)*(1-DATA!$B$6)</f>
        <v>82662.12593342422</v>
      </c>
      <c r="C23">
        <f>C22*EXP(RATES!O24)*(1-DATA!$B$6)</f>
        <v>20665.531483356055</v>
      </c>
      <c r="D23">
        <f t="shared" si="1"/>
        <v>103327.65741678028</v>
      </c>
      <c r="E23">
        <f>E22*(1-'LIFE TABLE MALE'!D83/1000)</f>
        <v>0.63037147159761586</v>
      </c>
      <c r="F23">
        <f t="shared" si="2"/>
        <v>1.7441788988031445E-2</v>
      </c>
      <c r="G23">
        <f t="shared" si="0"/>
        <v>103307.65741678028</v>
      </c>
      <c r="H23">
        <f>MAX(D23,DATA!$B$3)</f>
        <v>103327.65741678028</v>
      </c>
      <c r="I23">
        <f>G23*DATA!$B$7*F22*E23</f>
        <v>200.44370672012136</v>
      </c>
      <c r="J23">
        <f>H23*'LIFE TABLE MALE'!D83/1000*F22*E22</f>
        <v>74.459884747301487</v>
      </c>
      <c r="K23">
        <f>0</f>
        <v>0</v>
      </c>
      <c r="L23" s="43">
        <f>DATA!$B$8*((1+DATA!$B$9)^A22)*F23*E23</f>
        <v>0.81688518149071432</v>
      </c>
      <c r="M23">
        <f>B22*EXP(RATES!O24)*(DATA!$B$12)</f>
        <v>1183.3024162248867</v>
      </c>
      <c r="N23">
        <f>C22*EXP(RATES!O24)*(DATA!$B$12)</f>
        <v>295.82560405622166</v>
      </c>
      <c r="O23">
        <f t="shared" si="3"/>
        <v>1479.1280202811083</v>
      </c>
      <c r="P23">
        <f t="shared" si="4"/>
        <v>16.26272591567481</v>
      </c>
      <c r="Q23">
        <f>RATES!G24</f>
        <v>0.60659575547952316</v>
      </c>
      <c r="R23" s="44">
        <f t="shared" si="5"/>
        <v>291.9832025645884</v>
      </c>
      <c r="S23">
        <f t="shared" si="6"/>
        <v>177.11577134699715</v>
      </c>
      <c r="T23">
        <f>C22*EXP(RATES!O24)*(DATA!$B$6-DATA!$B$12)</f>
        <v>169.04320231784092</v>
      </c>
      <c r="U23">
        <f>B22*EXP(RATES!O24)*(DATA!$B$6-DATA!$B$12)</f>
        <v>676.17280927136369</v>
      </c>
      <c r="V23">
        <f t="shared" si="7"/>
        <v>845.21601158920464</v>
      </c>
      <c r="W23">
        <f t="shared" si="8"/>
        <v>9.2929862375284618</v>
      </c>
      <c r="X23">
        <f>W23*BASE!Q23</f>
        <v>5.6370860074143883</v>
      </c>
    </row>
    <row r="24" spans="1:24" x14ac:dyDescent="0.3">
      <c r="A24" s="5">
        <v>22</v>
      </c>
      <c r="B24">
        <f>B23*EXP(RATES!O25)*(1-DATA!$B$6)</f>
        <v>82791.080503122896</v>
      </c>
      <c r="C24">
        <f>C23*EXP(RATES!O25)*(1-DATA!$B$6)</f>
        <v>20697.770125780724</v>
      </c>
      <c r="D24">
        <f t="shared" si="1"/>
        <v>103488.85062890362</v>
      </c>
      <c r="E24">
        <f>E23*(1-'LIFE TABLE MALE'!D84/1000)</f>
        <v>0.59321032950859998</v>
      </c>
      <c r="F24">
        <f t="shared" si="2"/>
        <v>1.4825520639826728E-2</v>
      </c>
      <c r="G24">
        <f t="shared" si="0"/>
        <v>103468.85062890362</v>
      </c>
      <c r="H24">
        <f>MAX(D24,DATA!$B$3)</f>
        <v>103488.85062890362</v>
      </c>
      <c r="I24">
        <f>G24*DATA!$B$7*F23*E24</f>
        <v>160.58338808013795</v>
      </c>
      <c r="J24">
        <f>H24*'LIFE TABLE MALE'!D84/1000*F23*E23</f>
        <v>67.077002142455797</v>
      </c>
      <c r="K24">
        <f>0</f>
        <v>0</v>
      </c>
      <c r="L24" s="43">
        <f>DATA!$B$8*((1+DATA!$B$9)^A23)*F24*E24</f>
        <v>0.66648790091371857</v>
      </c>
      <c r="M24">
        <f>B23*EXP(RATES!O25)*(DATA!$B$12)</f>
        <v>1185.148391660246</v>
      </c>
      <c r="N24">
        <f>C23*EXP(RATES!O25)*(DATA!$B$12)</f>
        <v>296.28709791506151</v>
      </c>
      <c r="O24">
        <f t="shared" si="3"/>
        <v>1481.4354895753077</v>
      </c>
      <c r="P24">
        <f t="shared" si="4"/>
        <v>13.028709567395813</v>
      </c>
      <c r="Q24">
        <f>RATES!G25</f>
        <v>0.59232660750473398</v>
      </c>
      <c r="R24" s="44">
        <f t="shared" si="5"/>
        <v>241.35558769090329</v>
      </c>
      <c r="S24">
        <f t="shared" si="6"/>
        <v>142.96133645926409</v>
      </c>
      <c r="T24">
        <f>C23*EXP(RATES!O25)*(DATA!$B$6-DATA!$B$12)</f>
        <v>169.30691309432083</v>
      </c>
      <c r="U24">
        <f>B23*EXP(RATES!O25)*(DATA!$B$6-DATA!$B$12)</f>
        <v>677.22765237728333</v>
      </c>
      <c r="V24">
        <f t="shared" si="7"/>
        <v>846.5345654716042</v>
      </c>
      <c r="W24">
        <f t="shared" si="8"/>
        <v>7.4449768956547482</v>
      </c>
      <c r="X24">
        <f>W24*BASE!Q24</f>
        <v>4.4098579075543025</v>
      </c>
    </row>
    <row r="25" spans="1:24" x14ac:dyDescent="0.3">
      <c r="A25" s="5">
        <v>23</v>
      </c>
      <c r="B25">
        <f>B24*EXP(RATES!O26)*(1-DATA!$B$6)</f>
        <v>82994.7603613877</v>
      </c>
      <c r="C25">
        <f>C24*EXP(RATES!O26)*(1-DATA!$B$6)</f>
        <v>20748.690090346925</v>
      </c>
      <c r="D25">
        <f t="shared" si="1"/>
        <v>103743.45045173462</v>
      </c>
      <c r="E25">
        <f>E24*(1-'LIFE TABLE MALE'!D85/1000)</f>
        <v>0.55421480613968421</v>
      </c>
      <c r="F25">
        <f t="shared" si="2"/>
        <v>1.2601692543852719E-2</v>
      </c>
      <c r="G25">
        <f t="shared" si="0"/>
        <v>103723.45045173462</v>
      </c>
      <c r="H25">
        <f>MAX(D25,DATA!$B$3)</f>
        <v>103743.45045173462</v>
      </c>
      <c r="I25">
        <f>G25*DATA!$B$7*F24*E25</f>
        <v>127.83691817765741</v>
      </c>
      <c r="J25">
        <f>H25*'LIFE TABLE MALE'!D85/1000*F24*E24</f>
        <v>59.977090685422041</v>
      </c>
      <c r="K25">
        <f>0</f>
        <v>0</v>
      </c>
      <c r="L25" s="43">
        <f>DATA!$B$8*((1+DATA!$B$9)^A24)*F25*E25</f>
        <v>0.53985954781386936</v>
      </c>
      <c r="M25">
        <f>B24*EXP(RATES!O26)*(DATA!$B$12)</f>
        <v>1188.0640542529939</v>
      </c>
      <c r="N25">
        <f>C24*EXP(RATES!O26)*(DATA!$B$12)</f>
        <v>297.01601356324846</v>
      </c>
      <c r="O25">
        <f t="shared" si="3"/>
        <v>1485.0800678162423</v>
      </c>
      <c r="P25">
        <f t="shared" si="4"/>
        <v>10.371865413680387</v>
      </c>
      <c r="Q25">
        <f>RATES!G26</f>
        <v>0.57787375637469385</v>
      </c>
      <c r="R25" s="44">
        <f t="shared" si="5"/>
        <v>198.72573382457369</v>
      </c>
      <c r="S25">
        <f t="shared" si="6"/>
        <v>114.83838629352395</v>
      </c>
      <c r="T25">
        <f>C24*EXP(RATES!O26)*(DATA!$B$6-DATA!$B$12)</f>
        <v>169.72343632185621</v>
      </c>
      <c r="U25">
        <f>B24*EXP(RATES!O26)*(DATA!$B$6-DATA!$B$12)</f>
        <v>678.89374528742485</v>
      </c>
      <c r="V25">
        <f t="shared" si="7"/>
        <v>848.61718160928103</v>
      </c>
      <c r="W25">
        <f t="shared" si="8"/>
        <v>5.9267802363887911</v>
      </c>
      <c r="X25">
        <f>W25*BASE!Q25</f>
        <v>3.4249307584092867</v>
      </c>
    </row>
    <row r="26" spans="1:24" x14ac:dyDescent="0.3">
      <c r="A26" s="5">
        <v>24</v>
      </c>
      <c r="B26">
        <f>B25*EXP(RATES!O27)*(1-DATA!$B$6)</f>
        <v>83283.464922455751</v>
      </c>
      <c r="C26">
        <f>C25*EXP(RATES!O27)*(1-DATA!$B$6)</f>
        <v>20820.866230613938</v>
      </c>
      <c r="D26">
        <f t="shared" si="1"/>
        <v>104104.33115306968</v>
      </c>
      <c r="E26">
        <f>E25*(1-'LIFE TABLE MALE'!D86/1000)</f>
        <v>0.51420915397167088</v>
      </c>
      <c r="F26">
        <f t="shared" si="2"/>
        <v>1.0711438662274812E-2</v>
      </c>
      <c r="G26">
        <f t="shared" si="0"/>
        <v>104084.33115306968</v>
      </c>
      <c r="H26">
        <f>MAX(D26,DATA!$B$3)</f>
        <v>104104.33115306968</v>
      </c>
      <c r="I26">
        <f>G26*DATA!$B$7*F25*E26</f>
        <v>101.16849700816931</v>
      </c>
      <c r="J26">
        <f>H26*'LIFE TABLE MALE'!D86/1000*F25*E25</f>
        <v>52.483045974044416</v>
      </c>
      <c r="K26">
        <f>0</f>
        <v>0</v>
      </c>
      <c r="L26" s="43">
        <f>DATA!$B$8*((1+DATA!$B$9)^A25)*F26*E26</f>
        <v>0.43427173496582139</v>
      </c>
      <c r="M26">
        <f>B25*EXP(RATES!O27)*(DATA!$B$12)</f>
        <v>1192.1968393807574</v>
      </c>
      <c r="N26">
        <f>C25*EXP(RATES!O27)*(DATA!$B$12)</f>
        <v>298.04920984518935</v>
      </c>
      <c r="O26">
        <f t="shared" si="3"/>
        <v>1490.2460492259468</v>
      </c>
      <c r="P26">
        <f t="shared" si="4"/>
        <v>8.2081557398045923</v>
      </c>
      <c r="Q26">
        <f>RATES!G27</f>
        <v>0.56320138825489208</v>
      </c>
      <c r="R26" s="44">
        <f t="shared" si="5"/>
        <v>162.29397045698414</v>
      </c>
      <c r="S26">
        <f t="shared" si="6"/>
        <v>91.404189466771911</v>
      </c>
      <c r="T26">
        <f>C25*EXP(RATES!O27)*(DATA!$B$6-DATA!$B$12)</f>
        <v>170.313834197251</v>
      </c>
      <c r="U26">
        <f>B25*EXP(RATES!O27)*(DATA!$B$6-DATA!$B$12)</f>
        <v>681.25533678900399</v>
      </c>
      <c r="V26">
        <f t="shared" si="7"/>
        <v>851.56917098625502</v>
      </c>
      <c r="W26">
        <f t="shared" si="8"/>
        <v>4.6903747084597658</v>
      </c>
      <c r="X26">
        <f>W26*BASE!Q26</f>
        <v>2.6416255472401748</v>
      </c>
    </row>
    <row r="27" spans="1:24" x14ac:dyDescent="0.3">
      <c r="A27" s="6">
        <v>25</v>
      </c>
      <c r="B27">
        <f>B26*EXP(RATES!O28)*(1-DATA!$B$6)</f>
        <v>83627.029768984285</v>
      </c>
      <c r="C27">
        <f>C26*EXP(RATES!O28)*(1-DATA!$B$6)</f>
        <v>20906.757442246071</v>
      </c>
      <c r="D27">
        <f t="shared" si="1"/>
        <v>104533.78721123036</v>
      </c>
      <c r="E27">
        <f>E26*(1-'LIFE TABLE MALE'!D87/1000)</f>
        <v>0.47242590134255708</v>
      </c>
      <c r="F27">
        <f t="shared" si="2"/>
        <v>9.10472286293359E-3</v>
      </c>
      <c r="G27">
        <f t="shared" si="0"/>
        <v>104513.78721123036</v>
      </c>
      <c r="H27">
        <f>MAX(D27,DATA!$B$3)</f>
        <v>104533.78721123036</v>
      </c>
      <c r="I27">
        <f>G27*DATA!$B$7*F26*E27</f>
        <v>79.331624929218478</v>
      </c>
      <c r="J27">
        <f>H27*'LIFE TABLE MALE'!D87/1000*F26*E26</f>
        <v>46.785010891065149</v>
      </c>
      <c r="K27">
        <f>0</f>
        <v>0</v>
      </c>
      <c r="L27" s="43">
        <f>DATA!$B$8*((1+DATA!$B$9)^A26)*F27*E27</f>
        <v>0.34591911237099487</v>
      </c>
      <c r="M27">
        <f>B26*EXP(RATES!O28)*(DATA!$B$12)</f>
        <v>1197.1149455682821</v>
      </c>
      <c r="N27">
        <f>C26*EXP(RATES!O28)*(DATA!$B$12)</f>
        <v>299.27873639207053</v>
      </c>
      <c r="O27">
        <f t="shared" si="3"/>
        <v>1496.3936819603528</v>
      </c>
      <c r="P27">
        <f t="shared" si="4"/>
        <v>6.4364484768078372</v>
      </c>
      <c r="Q27">
        <f>RATES!G28</f>
        <v>0.54854806158178537</v>
      </c>
      <c r="R27" s="44">
        <f t="shared" si="5"/>
        <v>132.89900340946247</v>
      </c>
      <c r="S27">
        <f t="shared" si="6"/>
        <v>72.901490706411721</v>
      </c>
      <c r="T27">
        <f>C26*EXP(RATES!O28)*(DATA!$B$6-DATA!$B$12)</f>
        <v>171.01642079546883</v>
      </c>
      <c r="U27">
        <f>B26*EXP(RATES!O28)*(DATA!$B$6-DATA!$B$12)</f>
        <v>684.06568318187533</v>
      </c>
      <c r="V27">
        <f t="shared" si="7"/>
        <v>855.0821039773441</v>
      </c>
      <c r="W27">
        <f t="shared" si="8"/>
        <v>3.6779705581759057</v>
      </c>
      <c r="X27">
        <f>W27*BASE!Q27</f>
        <v>2.0175436202422703</v>
      </c>
    </row>
    <row r="28" spans="1:24" x14ac:dyDescent="0.3">
      <c r="A28" s="5">
        <v>26</v>
      </c>
      <c r="B28">
        <f>B27*EXP(RATES!O29)*(1-DATA!$B$6)</f>
        <v>84031.033003797333</v>
      </c>
      <c r="C28">
        <f>C27*EXP(RATES!O29)*(1-DATA!$B$6)</f>
        <v>21007.758250949333</v>
      </c>
      <c r="D28">
        <f t="shared" si="1"/>
        <v>105038.79125474667</v>
      </c>
      <c r="E28">
        <f>E27*(1-'LIFE TABLE MALE'!D88/1000)</f>
        <v>0.42866056426106119</v>
      </c>
      <c r="F28">
        <f t="shared" si="2"/>
        <v>7.7390144334935516E-3</v>
      </c>
      <c r="G28">
        <f t="shared" si="0"/>
        <v>105018.79125474667</v>
      </c>
      <c r="H28">
        <f>MAX(D28,DATA!$B$3)</f>
        <v>105038.79125474667</v>
      </c>
      <c r="I28">
        <f>G28*DATA!$B$7*F27*E28</f>
        <v>61.480662204696188</v>
      </c>
      <c r="J28">
        <f>H28*'LIFE TABLE MALE'!D88/1000*F27*E27</f>
        <v>41.854940038993455</v>
      </c>
      <c r="K28">
        <f>0</f>
        <v>0</v>
      </c>
      <c r="L28" s="43">
        <f>DATA!$B$8*((1+DATA!$B$9)^A27)*F28*E28</f>
        <v>0.2721281607124057</v>
      </c>
      <c r="M28">
        <f>B27*EXP(RATES!O29)*(DATA!$B$12)</f>
        <v>1202.8982229582439</v>
      </c>
      <c r="N28">
        <f>C27*EXP(RATES!O29)*(DATA!$B$12)</f>
        <v>300.72455573956097</v>
      </c>
      <c r="O28">
        <f t="shared" si="3"/>
        <v>1503.6227786978047</v>
      </c>
      <c r="P28">
        <f t="shared" si="4"/>
        <v>4.9881336841733317</v>
      </c>
      <c r="Q28">
        <f>RATES!G29</f>
        <v>0.53390072310461278</v>
      </c>
      <c r="R28" s="44">
        <f t="shared" si="5"/>
        <v>108.59586408857538</v>
      </c>
      <c r="S28">
        <f t="shared" si="6"/>
        <v>57.979410363060651</v>
      </c>
      <c r="T28">
        <f>C27*EXP(RATES!O29)*(DATA!$B$6-DATA!$B$12)</f>
        <v>171.84260327974911</v>
      </c>
      <c r="U28">
        <f>B27*EXP(RATES!O29)*(DATA!$B$6-DATA!$B$12)</f>
        <v>687.37041311899645</v>
      </c>
      <c r="V28">
        <f t="shared" si="7"/>
        <v>859.21301639874559</v>
      </c>
      <c r="W28">
        <f t="shared" si="8"/>
        <v>2.8503621052419041</v>
      </c>
      <c r="X28">
        <f>W28*BASE!Q28</f>
        <v>1.521810389098639</v>
      </c>
    </row>
    <row r="29" spans="1:24" x14ac:dyDescent="0.3">
      <c r="A29" s="5">
        <v>27</v>
      </c>
      <c r="B29">
        <f>B28*EXP(RATES!O30)*(1-DATA!$B$6)</f>
        <v>84501.26690690004</v>
      </c>
      <c r="C29">
        <f>C28*EXP(RATES!O30)*(1-DATA!$B$6)</f>
        <v>21125.31672672501</v>
      </c>
      <c r="D29">
        <f t="shared" si="1"/>
        <v>105626.58363362505</v>
      </c>
      <c r="E29">
        <f>E28*(1-'LIFE TABLE MALE'!D89/1000)</f>
        <v>0.38279328376033767</v>
      </c>
      <c r="F29">
        <f t="shared" si="2"/>
        <v>6.5781622684695186E-3</v>
      </c>
      <c r="G29">
        <f t="shared" si="0"/>
        <v>105606.58363362505</v>
      </c>
      <c r="H29">
        <f>MAX(D29,DATA!$B$3)</f>
        <v>105626.58363362505</v>
      </c>
      <c r="I29">
        <f>G29*DATA!$B$7*F28*E29</f>
        <v>46.928018675013099</v>
      </c>
      <c r="J29">
        <f>H29*'LIFE TABLE MALE'!D89/1000*F28*E28</f>
        <v>37.494009165799625</v>
      </c>
      <c r="K29">
        <f>0</f>
        <v>0</v>
      </c>
      <c r="L29" s="43">
        <f>DATA!$B$8*((1+DATA!$B$9)^A28)*F29*E29</f>
        <v>0.21068972768736513</v>
      </c>
      <c r="M29">
        <f>B28*EXP(RATES!O30)*(DATA!$B$12)</f>
        <v>1209.629587624336</v>
      </c>
      <c r="N29">
        <f>C28*EXP(RATES!O30)*(DATA!$B$12)</f>
        <v>302.40739690608399</v>
      </c>
      <c r="O29">
        <f t="shared" si="3"/>
        <v>1512.0369845304199</v>
      </c>
      <c r="P29">
        <f t="shared" si="4"/>
        <v>3.8074245496848111</v>
      </c>
      <c r="Q29">
        <f>RATES!G30</f>
        <v>0.51924921182601969</v>
      </c>
      <c r="R29" s="44">
        <f t="shared" si="5"/>
        <v>88.440142118184895</v>
      </c>
      <c r="S29">
        <f t="shared" si="6"/>
        <v>45.922474088648677</v>
      </c>
      <c r="T29">
        <f>C28*EXP(RATES!O30)*(DATA!$B$6-DATA!$B$12)</f>
        <v>172.80422680347655</v>
      </c>
      <c r="U29">
        <f>B28*EXP(RATES!O30)*(DATA!$B$6-DATA!$B$12)</f>
        <v>691.21690721390621</v>
      </c>
      <c r="V29">
        <f t="shared" si="7"/>
        <v>864.02113401738279</v>
      </c>
      <c r="W29">
        <f t="shared" si="8"/>
        <v>2.1756711712484638</v>
      </c>
      <c r="X29">
        <f>W29*BASE!Q29</f>
        <v>1.1297155408633579</v>
      </c>
    </row>
    <row r="30" spans="1:24" x14ac:dyDescent="0.3">
      <c r="A30" s="5">
        <v>28</v>
      </c>
      <c r="B30">
        <f>B29*EXP(RATES!O31)*(1-DATA!$B$6)</f>
        <v>85020.543140026202</v>
      </c>
      <c r="C30">
        <f>C29*EXP(RATES!O31)*(1-DATA!$B$6)</f>
        <v>21255.135785006551</v>
      </c>
      <c r="D30">
        <f t="shared" si="1"/>
        <v>106275.67892503276</v>
      </c>
      <c r="E30">
        <f>E29*(1-'LIFE TABLE MALE'!D90/1000)</f>
        <v>0.33599119307109643</v>
      </c>
      <c r="F30">
        <f t="shared" si="2"/>
        <v>5.5914379281990908E-3</v>
      </c>
      <c r="G30">
        <f t="shared" si="0"/>
        <v>106255.67892503276</v>
      </c>
      <c r="H30">
        <f>MAX(D30,DATA!$B$3)</f>
        <v>106275.67892503276</v>
      </c>
      <c r="I30">
        <f>G30*DATA!$B$7*F29*E30</f>
        <v>35.227018371898623</v>
      </c>
      <c r="J30">
        <f>H30*'LIFE TABLE MALE'!D90/1000*F29*E29</f>
        <v>32.719278940366998</v>
      </c>
      <c r="K30">
        <f>0</f>
        <v>0</v>
      </c>
      <c r="L30" s="43">
        <f>DATA!$B$8*((1+DATA!$B$9)^A29)*F30*E30</f>
        <v>0.16033415373727525</v>
      </c>
      <c r="M30">
        <f>B29*EXP(RATES!O31)*(DATA!$B$12)</f>
        <v>1217.0629897345264</v>
      </c>
      <c r="N30">
        <f>C29*EXP(RATES!O31)*(DATA!$B$12)</f>
        <v>304.26574743363159</v>
      </c>
      <c r="O30">
        <f t="shared" si="3"/>
        <v>1521.3287371681579</v>
      </c>
      <c r="P30">
        <f t="shared" si="4"/>
        <v>2.8580805925658743</v>
      </c>
      <c r="Q30">
        <f>RATES!G31</f>
        <v>0.50472410428806358</v>
      </c>
      <c r="R30" s="44">
        <f t="shared" si="5"/>
        <v>70.964712058568779</v>
      </c>
      <c r="S30">
        <f t="shared" si="6"/>
        <v>35.817600729821471</v>
      </c>
      <c r="T30">
        <f>C29*EXP(RATES!O31)*(DATA!$B$6-DATA!$B$12)</f>
        <v>173.86614139064659</v>
      </c>
      <c r="U30">
        <f>B29*EXP(RATES!O31)*(DATA!$B$6-DATA!$B$12)</f>
        <v>695.46456556258636</v>
      </c>
      <c r="V30">
        <f t="shared" si="7"/>
        <v>869.33070695323295</v>
      </c>
      <c r="W30">
        <f t="shared" si="8"/>
        <v>1.633188910037642</v>
      </c>
      <c r="X30">
        <f>W30*BASE!Q30</f>
        <v>0.82430980975194768</v>
      </c>
    </row>
    <row r="31" spans="1:24" x14ac:dyDescent="0.3">
      <c r="A31" s="5">
        <v>29</v>
      </c>
      <c r="B31">
        <f>B30*EXP(RATES!O32)*(1-DATA!$B$6)</f>
        <v>85568.006571671765</v>
      </c>
      <c r="C31">
        <f>C30*EXP(RATES!O32)*(1-DATA!$B$6)</f>
        <v>21392.001642917941</v>
      </c>
      <c r="D31">
        <f t="shared" si="1"/>
        <v>106960.0082145897</v>
      </c>
      <c r="E31">
        <f>E30*(1-'LIFE TABLE MALE'!D91/1000)</f>
        <v>0.28899294993893926</v>
      </c>
      <c r="F31">
        <f t="shared" si="2"/>
        <v>4.7527222389692272E-3</v>
      </c>
      <c r="G31">
        <f t="shared" si="0"/>
        <v>106940.0082145897</v>
      </c>
      <c r="H31">
        <f>MAX(D31,DATA!$B$3)</f>
        <v>106960.0082145897</v>
      </c>
      <c r="I31">
        <f>G31*DATA!$B$7*F30*E31</f>
        <v>25.920431583199967</v>
      </c>
      <c r="J31">
        <f>H31*'LIFE TABLE MALE'!D91/1000*F30*E30</f>
        <v>28.107780883566985</v>
      </c>
      <c r="K31">
        <f>0</f>
        <v>0</v>
      </c>
      <c r="L31" s="43">
        <f>DATA!$B$8*((1+DATA!$B$9)^A30)*F31*E31</f>
        <v>0.11956511767086592</v>
      </c>
      <c r="M31">
        <f>B30*EXP(RATES!O32)*(DATA!$B$12)</f>
        <v>1224.8998895740335</v>
      </c>
      <c r="N31">
        <f>C30*EXP(RATES!O32)*(DATA!$B$12)</f>
        <v>306.22497239350838</v>
      </c>
      <c r="O31">
        <f t="shared" si="3"/>
        <v>1531.1248619675418</v>
      </c>
      <c r="P31">
        <f t="shared" si="4"/>
        <v>2.1030049282571439</v>
      </c>
      <c r="Q31">
        <f>RATES!G32</f>
        <v>0.49046199601095725</v>
      </c>
      <c r="R31" s="45">
        <f t="shared" si="5"/>
        <v>56.250782512694961</v>
      </c>
      <c r="S31">
        <f t="shared" si="6"/>
        <v>27.588871068354621</v>
      </c>
      <c r="T31">
        <f>C30*EXP(RATES!O32)*(DATA!$B$6-DATA!$B$12)</f>
        <v>174.98569851057619</v>
      </c>
      <c r="U31">
        <f>B30*EXP(RATES!O32)*(DATA!$B$6-DATA!$B$12)</f>
        <v>699.94279404230474</v>
      </c>
      <c r="V31">
        <f t="shared" si="7"/>
        <v>874.92849255288093</v>
      </c>
      <c r="W31">
        <f t="shared" si="8"/>
        <v>1.2017171018612249</v>
      </c>
      <c r="X31">
        <f>W31*BASE!Q31</f>
        <v>0.58939656841935917</v>
      </c>
    </row>
    <row r="32" spans="1:24" x14ac:dyDescent="0.3">
      <c r="A32" s="6">
        <v>30</v>
      </c>
      <c r="B32">
        <f>B31*EXP(RATES!O33)*(1-DATA!$B$6)</f>
        <v>86144.154157072146</v>
      </c>
      <c r="C32">
        <f>C31*EXP(RATES!O33)*(1-DATA!$B$6)</f>
        <v>21536.038539268036</v>
      </c>
      <c r="D32">
        <f t="shared" si="1"/>
        <v>107680.19269634018</v>
      </c>
      <c r="E32">
        <f>E31*(1-'LIFE TABLE MALE'!D92/1000)</f>
        <v>0.24274450939213651</v>
      </c>
      <c r="F32">
        <f t="shared" si="2"/>
        <v>4.0398139031238428E-3</v>
      </c>
      <c r="G32">
        <f t="shared" si="0"/>
        <v>107660.19269634018</v>
      </c>
      <c r="H32">
        <f>MAX(D32,DATA!$B$3)</f>
        <v>107680.19269634018</v>
      </c>
      <c r="I32">
        <f>G32*DATA!$B$7*F31*E32</f>
        <v>18.631089884794115</v>
      </c>
      <c r="J32">
        <f>H32*'LIFE TABLE MALE'!D92/1000*F31*E31</f>
        <v>23.668751564079816</v>
      </c>
      <c r="K32">
        <f>0</f>
        <v>0</v>
      </c>
      <c r="L32" s="43">
        <f>DATA!$B$8*((1+DATA!$B$9)^A31)*F32*E32</f>
        <v>8.7073451616831263E-2</v>
      </c>
      <c r="M32">
        <f>B31*EXP(RATES!O33)*(DATA!$B$12)</f>
        <v>1233.1474010214827</v>
      </c>
      <c r="N32">
        <f>C31*EXP(RATES!O33)*(DATA!$B$12)</f>
        <v>308.28685025537067</v>
      </c>
      <c r="O32">
        <f t="shared" si="3"/>
        <v>1541.4342512768533</v>
      </c>
      <c r="P32">
        <f t="shared" si="4"/>
        <v>1.5115961596461884</v>
      </c>
      <c r="Q32">
        <f>RATES!G33</f>
        <v>0.47646370067584165</v>
      </c>
      <c r="R32" s="45">
        <f t="shared" si="5"/>
        <v>43.898511060136954</v>
      </c>
      <c r="S32">
        <f t="shared" si="6"/>
        <v>20.916047033872218</v>
      </c>
      <c r="T32">
        <f>C31*EXP(RATES!O33)*(DATA!$B$6-DATA!$B$12)</f>
        <v>176.16391443164034</v>
      </c>
      <c r="U32">
        <f>B31*EXP(RATES!O33)*(DATA!$B$6-DATA!$B$12)</f>
        <v>704.65565772656134</v>
      </c>
      <c r="V32">
        <f t="shared" si="7"/>
        <v>880.81957215820171</v>
      </c>
      <c r="W32">
        <f t="shared" si="8"/>
        <v>0.86376923408353601</v>
      </c>
      <c r="X32">
        <f>W32*BASE!Q32</f>
        <v>0.41155468580137888</v>
      </c>
    </row>
    <row r="33" spans="1:24" x14ac:dyDescent="0.3">
      <c r="A33" s="5">
        <v>31</v>
      </c>
      <c r="B33">
        <f>B32*EXP(RATES!O34)*(1-DATA!$B$6)</f>
        <v>86775.747166721878</v>
      </c>
      <c r="C33">
        <f>C32*EXP(RATES!O34)*(1-DATA!$B$6)</f>
        <v>21693.936791680469</v>
      </c>
      <c r="D33">
        <f t="shared" si="1"/>
        <v>108469.68395840234</v>
      </c>
      <c r="E33">
        <f>E32*(1-'LIFE TABLE MALE'!D93/1000)</f>
        <v>0.1988663322971663</v>
      </c>
      <c r="F33">
        <f t="shared" si="2"/>
        <v>3.4338418176552664E-3</v>
      </c>
      <c r="G33">
        <f t="shared" si="0"/>
        <v>108449.68395840234</v>
      </c>
      <c r="H33">
        <f>MAX(D33,DATA!$B$3)</f>
        <v>108469.68395840234</v>
      </c>
      <c r="I33">
        <f>G33*DATA!$B$7*F32*E33</f>
        <v>13.068994445437303</v>
      </c>
      <c r="J33">
        <f>H33*'LIFE TABLE MALE'!D93/1000*F32*E32</f>
        <v>19.227300369585571</v>
      </c>
      <c r="K33">
        <f>0</f>
        <v>0</v>
      </c>
      <c r="L33" s="43">
        <f>DATA!$B$8*((1+DATA!$B$9)^A32)*F33*E33</f>
        <v>6.1846724904071636E-2</v>
      </c>
      <c r="M33">
        <f>B32*EXP(RATES!O34)*(DATA!$B$12)</f>
        <v>1242.1886097485749</v>
      </c>
      <c r="N33">
        <f>C32*EXP(RATES!O34)*(DATA!$B$12)</f>
        <v>310.54715243714372</v>
      </c>
      <c r="O33">
        <f t="shared" si="3"/>
        <v>1552.7357621857186</v>
      </c>
      <c r="P33">
        <f t="shared" si="4"/>
        <v>1.0603252533938547</v>
      </c>
      <c r="Q33">
        <f>RATES!G34</f>
        <v>0.46258987582736705</v>
      </c>
      <c r="R33" s="45">
        <f t="shared" si="5"/>
        <v>33.418466793320803</v>
      </c>
      <c r="S33">
        <f t="shared" si="6"/>
        <v>15.45904440426326</v>
      </c>
      <c r="T33">
        <f>C32*EXP(RATES!O34)*(DATA!$B$6-DATA!$B$12)</f>
        <v>177.45551567836782</v>
      </c>
      <c r="U33">
        <f>B32*EXP(RATES!O34)*(DATA!$B$6-DATA!$B$12)</f>
        <v>709.82206271347127</v>
      </c>
      <c r="V33">
        <f t="shared" si="7"/>
        <v>887.27757839183914</v>
      </c>
      <c r="W33">
        <f t="shared" si="8"/>
        <v>0.60590014479648835</v>
      </c>
      <c r="X33">
        <f>W33*BASE!Q33</f>
        <v>0.28028327274519127</v>
      </c>
    </row>
    <row r="34" spans="1:24" x14ac:dyDescent="0.3">
      <c r="A34" s="5">
        <v>32</v>
      </c>
      <c r="B34">
        <f>B33*EXP(RATES!O35)*(1-DATA!$B$6)</f>
        <v>87439.193933082599</v>
      </c>
      <c r="C34">
        <f>C33*EXP(RATES!O35)*(1-DATA!$B$6)</f>
        <v>21859.79848327065</v>
      </c>
      <c r="D34">
        <f t="shared" si="1"/>
        <v>109298.99241635326</v>
      </c>
      <c r="E34">
        <f>E33*(1-'LIFE TABLE MALE'!D94/1000)</f>
        <v>0.1590545553724837</v>
      </c>
      <c r="F34">
        <f t="shared" si="2"/>
        <v>2.9187655450069764E-3</v>
      </c>
      <c r="G34">
        <f t="shared" si="0"/>
        <v>109278.99241635326</v>
      </c>
      <c r="H34">
        <f>MAX(D34,DATA!$B$3)</f>
        <v>109298.99241635326</v>
      </c>
      <c r="I34">
        <f>G34*DATA!$B$7*F33*E34</f>
        <v>8.9527063178485076</v>
      </c>
      <c r="J34">
        <f>H34*'LIFE TABLE MALE'!D94/1000*F33*E33</f>
        <v>14.941975003113148</v>
      </c>
      <c r="K34">
        <f>0</f>
        <v>0</v>
      </c>
      <c r="L34" s="43">
        <f>DATA!$B$8*((1+DATA!$B$9)^A33)*F34*E34</f>
        <v>4.2886504665417331E-2</v>
      </c>
      <c r="M34">
        <f>B33*EXP(RATES!O35)*(DATA!$B$12)</f>
        <v>1251.6858027230637</v>
      </c>
      <c r="N34">
        <f>C33*EXP(RATES!O35)*(DATA!$B$12)</f>
        <v>312.92145068076593</v>
      </c>
      <c r="O34">
        <f t="shared" si="3"/>
        <v>1564.6072534038296</v>
      </c>
      <c r="P34">
        <f t="shared" si="4"/>
        <v>0.72635789629549508</v>
      </c>
      <c r="Q34">
        <f>RATES!G35</f>
        <v>0.44898020595178956</v>
      </c>
      <c r="R34" s="45">
        <f t="shared" si="5"/>
        <v>24.663925721922567</v>
      </c>
      <c r="S34">
        <f t="shared" si="6"/>
        <v>11.073614450208433</v>
      </c>
      <c r="T34">
        <f>C33*EXP(RATES!O35)*(DATA!$B$6-DATA!$B$12)</f>
        <v>178.81225753186621</v>
      </c>
      <c r="U34">
        <f>B33*EXP(RATES!O35)*(DATA!$B$6-DATA!$B$12)</f>
        <v>715.24903012746483</v>
      </c>
      <c r="V34">
        <f t="shared" si="7"/>
        <v>894.06128765933101</v>
      </c>
      <c r="W34">
        <f t="shared" si="8"/>
        <v>0.41506165502599707</v>
      </c>
      <c r="X34">
        <f>W34*BASE!Q34</f>
        <v>0.18635446735626279</v>
      </c>
    </row>
    <row r="35" spans="1:24" x14ac:dyDescent="0.3">
      <c r="A35" s="5">
        <v>33</v>
      </c>
      <c r="B35">
        <f>B34*EXP(RATES!O36)*(1-DATA!$B$6)</f>
        <v>88135.146395904914</v>
      </c>
      <c r="C35">
        <f>C34*EXP(RATES!O36)*(1-DATA!$B$6)</f>
        <v>22033.786598976229</v>
      </c>
      <c r="D35">
        <f t="shared" si="1"/>
        <v>110168.93299488115</v>
      </c>
      <c r="E35">
        <f>E34*(1-'LIFE TABLE MALE'!D95/1000)</f>
        <v>0.12331571729742245</v>
      </c>
      <c r="F35">
        <f t="shared" si="2"/>
        <v>2.48095071325593E-3</v>
      </c>
      <c r="G35">
        <f t="shared" si="0"/>
        <v>110148.93299488115</v>
      </c>
      <c r="H35">
        <f>MAX(D35,DATA!$B$3)</f>
        <v>110168.93299488115</v>
      </c>
      <c r="I35">
        <f>G35*DATA!$B$7*F34*E35</f>
        <v>5.9468803127749572</v>
      </c>
      <c r="J35">
        <f>H35*'LIFE TABLE MALE'!D95/1000*F34*E34</f>
        <v>11.492083767477068</v>
      </c>
      <c r="K35">
        <f>0</f>
        <v>0</v>
      </c>
      <c r="L35" s="43">
        <f>DATA!$B$8*((1+DATA!$B$9)^A34)*F35*E35</f>
        <v>2.8827837864349958E-2</v>
      </c>
      <c r="M35">
        <f>B34*EXP(RATES!O36)*(DATA!$B$12)</f>
        <v>1261.6483124158169</v>
      </c>
      <c r="N35">
        <f>C34*EXP(RATES!O36)*(DATA!$B$12)</f>
        <v>315.41207810395423</v>
      </c>
      <c r="O35">
        <f t="shared" si="3"/>
        <v>1577.0603905197711</v>
      </c>
      <c r="P35">
        <f t="shared" si="4"/>
        <v>0.48248619775819324</v>
      </c>
      <c r="Q35">
        <f>RATES!G36</f>
        <v>0.43563530089638008</v>
      </c>
      <c r="R35" s="45">
        <f t="shared" si="5"/>
        <v>17.950278115874568</v>
      </c>
      <c r="S35">
        <f t="shared" si="6"/>
        <v>7.8197748081827241</v>
      </c>
      <c r="T35">
        <f>C34*EXP(RATES!O36)*(DATA!$B$6-DATA!$B$12)</f>
        <v>180.2354732022595</v>
      </c>
      <c r="U35">
        <f>B34*EXP(RATES!O36)*(DATA!$B$6-DATA!$B$12)</f>
        <v>720.94189280903799</v>
      </c>
      <c r="V35">
        <f t="shared" si="7"/>
        <v>901.17736601129752</v>
      </c>
      <c r="W35">
        <f t="shared" si="8"/>
        <v>0.27570639871896752</v>
      </c>
      <c r="X35">
        <f>W35*BASE!Q35</f>
        <v>0.12010743996499476</v>
      </c>
    </row>
    <row r="36" spans="1:24" x14ac:dyDescent="0.3">
      <c r="A36" s="5">
        <v>34</v>
      </c>
      <c r="B36">
        <f>B35*EXP(RATES!O37)*(1-DATA!$B$6)</f>
        <v>88864.291917679613</v>
      </c>
      <c r="C36">
        <f>C35*EXP(RATES!O37)*(1-DATA!$B$6)</f>
        <v>22216.072979419903</v>
      </c>
      <c r="D36">
        <f t="shared" si="1"/>
        <v>111080.36489709951</v>
      </c>
      <c r="E36">
        <f>E35*(1-'LIFE TABLE MALE'!D96/1000)</f>
        <v>9.2980118665901043E-2</v>
      </c>
      <c r="F36">
        <f t="shared" si="2"/>
        <v>2.1088081062675406E-3</v>
      </c>
      <c r="G36">
        <f t="shared" si="0"/>
        <v>111060.36489709951</v>
      </c>
      <c r="H36">
        <f>MAX(D36,DATA!$B$3)</f>
        <v>111080.36489709951</v>
      </c>
      <c r="I36">
        <f>G36*DATA!$B$7*F35*E36</f>
        <v>3.8428956151296516</v>
      </c>
      <c r="J36">
        <f>H36*'LIFE TABLE MALE'!D96/1000*F35*E35</f>
        <v>8.360033234444165</v>
      </c>
      <c r="K36">
        <f>0</f>
        <v>0</v>
      </c>
      <c r="L36" s="43">
        <f>DATA!$B$8*((1+DATA!$B$9)^A35)*F36*E36</f>
        <v>1.8845290259561616E-2</v>
      </c>
      <c r="M36">
        <f>B35*EXP(RATES!O37)*(DATA!$B$12)</f>
        <v>1272.0859783716919</v>
      </c>
      <c r="N36">
        <f>C35*EXP(RATES!O37)*(DATA!$B$12)</f>
        <v>318.02149459292298</v>
      </c>
      <c r="O36">
        <f t="shared" si="3"/>
        <v>1590.1074729646148</v>
      </c>
      <c r="P36">
        <f t="shared" si="4"/>
        <v>0.31178386546433101</v>
      </c>
      <c r="Q36">
        <f>RATES!G37</f>
        <v>0.42255550600771669</v>
      </c>
      <c r="R36" s="45">
        <f t="shared" si="5"/>
        <v>12.53355800529771</v>
      </c>
      <c r="S36">
        <f t="shared" si="6"/>
        <v>5.2961239450056423</v>
      </c>
      <c r="T36">
        <f>C35*EXP(RATES!O37)*(DATA!$B$6-DATA!$B$12)</f>
        <v>181.72656833881308</v>
      </c>
      <c r="U36">
        <f>B35*EXP(RATES!O37)*(DATA!$B$6-DATA!$B$12)</f>
        <v>726.90627335525232</v>
      </c>
      <c r="V36">
        <f t="shared" si="7"/>
        <v>908.63284169406541</v>
      </c>
      <c r="W36">
        <f t="shared" si="8"/>
        <v>0.17816220883676057</v>
      </c>
      <c r="X36">
        <f>W36*BASE!Q36</f>
        <v>7.5283422306469852E-2</v>
      </c>
    </row>
    <row r="37" spans="1:24" x14ac:dyDescent="0.3">
      <c r="A37" s="6">
        <v>35</v>
      </c>
      <c r="B37">
        <f>B36*EXP(RATES!O38)*(1-DATA!$B$6)</f>
        <v>89596.779479446108</v>
      </c>
      <c r="C37">
        <f>C36*EXP(RATES!O38)*(1-DATA!$B$6)</f>
        <v>22399.194869861527</v>
      </c>
      <c r="D37">
        <f t="shared" si="1"/>
        <v>111995.97434930764</v>
      </c>
      <c r="E37">
        <f>E36*(1-'LIFE TABLE MALE'!D97/1000)</f>
        <v>6.7353135477056972E-2</v>
      </c>
      <c r="F37">
        <f t="shared" si="2"/>
        <v>1.7924868903274095E-3</v>
      </c>
      <c r="G37">
        <f t="shared" si="0"/>
        <v>111975.97434930764</v>
      </c>
      <c r="H37">
        <f>MAX(D37,DATA!$B$3)</f>
        <v>111995.97434930764</v>
      </c>
      <c r="I37">
        <f>G37*DATA!$B$7*F36*E37</f>
        <v>2.3856734077752346</v>
      </c>
      <c r="J37">
        <f>H37*'LIFE TABLE MALE'!D97/1000*F36*E36</f>
        <v>6.0525301116511647</v>
      </c>
      <c r="K37">
        <f>0</f>
        <v>0</v>
      </c>
      <c r="L37" s="43">
        <f>DATA!$B$8*((1+DATA!$B$9)^A36)*F37*E37</f>
        <v>1.1835582865975126E-2</v>
      </c>
      <c r="M37">
        <f>B36*EXP(RATES!O38)*(DATA!$B$12)</f>
        <v>1282.5714853908441</v>
      </c>
      <c r="N37">
        <f>C36*EXP(RATES!O38)*(DATA!$B$12)</f>
        <v>320.64287134771104</v>
      </c>
      <c r="O37">
        <f t="shared" si="3"/>
        <v>1603.2143567385551</v>
      </c>
      <c r="P37">
        <f t="shared" si="4"/>
        <v>0.19355544782716172</v>
      </c>
      <c r="Q37">
        <f>RATES!G38</f>
        <v>0.40988073390848567</v>
      </c>
      <c r="R37" s="45">
        <f t="shared" si="5"/>
        <v>8.6435945501195359</v>
      </c>
      <c r="S37">
        <f t="shared" si="6"/>
        <v>3.5428428778103824</v>
      </c>
      <c r="T37">
        <f>C36*EXP(RATES!O38)*(DATA!$B$6-DATA!$B$12)</f>
        <v>183.22449791297771</v>
      </c>
      <c r="U37">
        <f>B36*EXP(RATES!O38)*(DATA!$B$6-DATA!$B$12)</f>
        <v>732.89799165191084</v>
      </c>
      <c r="V37">
        <f t="shared" si="7"/>
        <v>916.12248956488861</v>
      </c>
      <c r="W37">
        <f t="shared" si="8"/>
        <v>0.11060311304409241</v>
      </c>
      <c r="X37">
        <f>W37*BASE!Q37</f>
        <v>4.5334085147075806E-2</v>
      </c>
    </row>
    <row r="38" spans="1:24" x14ac:dyDescent="0.3">
      <c r="A38" s="5">
        <v>36</v>
      </c>
      <c r="B38">
        <f>B37*EXP(RATES!O39)*(1-DATA!$B$6)</f>
        <v>90361.659728555722</v>
      </c>
      <c r="C38">
        <f>C37*EXP(RATES!O39)*(1-DATA!$B$6)</f>
        <v>22590.41493213893</v>
      </c>
      <c r="D38">
        <f t="shared" si="1"/>
        <v>112952.07466069465</v>
      </c>
      <c r="E38">
        <f>E37*(1-'LIFE TABLE MALE'!D98/1000)</f>
        <v>4.6772681765307828E-2</v>
      </c>
      <c r="F38">
        <f t="shared" si="2"/>
        <v>1.5236138567782981E-3</v>
      </c>
      <c r="G38">
        <f t="shared" si="0"/>
        <v>112932.07466069465</v>
      </c>
      <c r="H38">
        <f>MAX(D38,DATA!$B$3)</f>
        <v>112952.07466069465</v>
      </c>
      <c r="I38">
        <f>G38*DATA!$B$7*F37*E38</f>
        <v>1.4202239270353163</v>
      </c>
      <c r="J38">
        <f>H38*'LIFE TABLE MALE'!D98/1000*F37*E37</f>
        <v>4.1668238876696018</v>
      </c>
      <c r="K38">
        <f>0</f>
        <v>0</v>
      </c>
      <c r="L38" s="43">
        <f>DATA!$B$8*((1+DATA!$B$9)^A37)*F38*E38</f>
        <v>7.1259570624050616E-3</v>
      </c>
      <c r="M38">
        <f>B37*EXP(RATES!O39)*(DATA!$B$12)</f>
        <v>1293.520691410818</v>
      </c>
      <c r="N38">
        <f>C37*EXP(RATES!O39)*(DATA!$B$12)</f>
        <v>323.3801728527045</v>
      </c>
      <c r="O38">
        <f t="shared" si="3"/>
        <v>1616.9008642635226</v>
      </c>
      <c r="P38">
        <f t="shared" si="4"/>
        <v>0.11522602453288774</v>
      </c>
      <c r="Q38">
        <f>RATES!G39</f>
        <v>0.39747018785099719</v>
      </c>
      <c r="R38" s="46">
        <f t="shared" si="5"/>
        <v>5.709399796300211</v>
      </c>
      <c r="S38">
        <f t="shared" si="6"/>
        <v>2.26931620955189</v>
      </c>
      <c r="T38">
        <f>C37*EXP(RATES!O39)*(DATA!$B$6-DATA!$B$12)</f>
        <v>184.78867020154539</v>
      </c>
      <c r="U38">
        <f>B37*EXP(RATES!O39)*(DATA!$B$6-DATA!$B$12)</f>
        <v>739.15468080618155</v>
      </c>
      <c r="V38">
        <f t="shared" si="7"/>
        <v>923.94335100772696</v>
      </c>
      <c r="W38">
        <f t="shared" si="8"/>
        <v>6.5843442590221554E-2</v>
      </c>
      <c r="X38">
        <f>W38*BASE!Q38</f>
        <v>2.6170805495091709E-2</v>
      </c>
    </row>
    <row r="39" spans="1:24" x14ac:dyDescent="0.3">
      <c r="A39" s="5">
        <v>37</v>
      </c>
      <c r="B39">
        <f>B38*EXP(RATES!O40)*(1-DATA!$B$6)</f>
        <v>91159.651578764926</v>
      </c>
      <c r="C39">
        <f>C38*EXP(RATES!O40)*(1-DATA!$B$6)</f>
        <v>22789.912894691231</v>
      </c>
      <c r="D39">
        <f t="shared" si="1"/>
        <v>113949.56447345615</v>
      </c>
      <c r="E39">
        <f>E38*(1-'LIFE TABLE MALE'!D99/1000)</f>
        <v>3.1217167791388403E-2</v>
      </c>
      <c r="F39">
        <f t="shared" si="2"/>
        <v>1.2950717782615534E-3</v>
      </c>
      <c r="G39">
        <f t="shared" si="0"/>
        <v>113929.56447345615</v>
      </c>
      <c r="H39">
        <f>MAX(D39,DATA!$B$3)</f>
        <v>113949.56447345615</v>
      </c>
      <c r="I39">
        <f>G39*DATA!$B$7*F38*E39</f>
        <v>0.81282323323398209</v>
      </c>
      <c r="J39">
        <f>H39*'LIFE TABLE MALE'!D99/1000*F38*E38</f>
        <v>2.7006726648858765</v>
      </c>
      <c r="K39">
        <f>0</f>
        <v>0</v>
      </c>
      <c r="L39" s="43">
        <f>DATA!$B$8*((1+DATA!$B$9)^A38)*F39*E39</f>
        <v>4.1234765203186129E-3</v>
      </c>
      <c r="M39">
        <f>B38*EXP(RATES!O40)*(DATA!$B$12)</f>
        <v>1304.9438876305819</v>
      </c>
      <c r="N39">
        <f>C38*EXP(RATES!O40)*(DATA!$B$12)</f>
        <v>326.23597190764548</v>
      </c>
      <c r="O39">
        <f t="shared" si="3"/>
        <v>1631.1798595382274</v>
      </c>
      <c r="P39">
        <f t="shared" si="4"/>
        <v>6.5946110915818354E-2</v>
      </c>
      <c r="Q39">
        <f>RATES!G40</f>
        <v>0.38532302185706108</v>
      </c>
      <c r="R39" s="46">
        <f t="shared" si="5"/>
        <v>3.5835654855559955</v>
      </c>
      <c r="S39">
        <f t="shared" si="6"/>
        <v>1.3808302819171026</v>
      </c>
      <c r="T39">
        <f>C38*EXP(RATES!O40)*(DATA!$B$6-DATA!$B$12)</f>
        <v>186.42055537579736</v>
      </c>
      <c r="U39">
        <f>B38*EXP(RATES!O40)*(DATA!$B$6-DATA!$B$12)</f>
        <v>745.68222150318945</v>
      </c>
      <c r="V39">
        <f t="shared" si="7"/>
        <v>932.10277687898679</v>
      </c>
      <c r="W39">
        <f t="shared" si="8"/>
        <v>3.7683491951896186E-2</v>
      </c>
      <c r="X39">
        <f>W39*BASE!Q39</f>
        <v>1.452031699303088E-2</v>
      </c>
    </row>
    <row r="40" spans="1:24" x14ac:dyDescent="0.3">
      <c r="A40" s="5">
        <v>38</v>
      </c>
      <c r="B40">
        <f>B39*EXP(RATES!O41)*(1-DATA!$B$6)</f>
        <v>91991.509139589645</v>
      </c>
      <c r="C40">
        <f>C39*EXP(RATES!O41)*(1-DATA!$B$6)</f>
        <v>22997.877284897411</v>
      </c>
      <c r="D40">
        <f t="shared" si="1"/>
        <v>114989.38642448705</v>
      </c>
      <c r="E40">
        <f>E39*(1-'LIFE TABLE MALE'!D100/1000)</f>
        <v>2.0085822836336076E-2</v>
      </c>
      <c r="F40">
        <f t="shared" si="2"/>
        <v>1.1008110115223204E-3</v>
      </c>
      <c r="G40">
        <f t="shared" si="0"/>
        <v>114969.38642448705</v>
      </c>
      <c r="H40">
        <f>MAX(D40,DATA!$B$3)</f>
        <v>114989.38642448705</v>
      </c>
      <c r="I40">
        <f>G40*DATA!$B$7*F39*E40</f>
        <v>0.44859759392625753</v>
      </c>
      <c r="J40">
        <f>H40*'LIFE TABLE MALE'!D100/1000*F39*E39</f>
        <v>1.6576744269743862</v>
      </c>
      <c r="K40">
        <f>0</f>
        <v>0</v>
      </c>
      <c r="L40" s="43">
        <f>DATA!$B$8*((1+DATA!$B$9)^A39)*F40*E40</f>
        <v>2.3002696666400025E-3</v>
      </c>
      <c r="M40">
        <f>B39*EXP(RATES!O41)*(DATA!$B$12)</f>
        <v>1316.8518690738806</v>
      </c>
      <c r="N40">
        <f>C39*EXP(RATES!O41)*(DATA!$B$12)</f>
        <v>329.21296726847015</v>
      </c>
      <c r="O40">
        <f t="shared" si="3"/>
        <v>1646.0648363423506</v>
      </c>
      <c r="P40">
        <f t="shared" si="4"/>
        <v>3.6395637470419372E-2</v>
      </c>
      <c r="Q40">
        <f>RATES!G41</f>
        <v>0.37343818647922755</v>
      </c>
      <c r="R40" s="46">
        <f t="shared" si="5"/>
        <v>2.144967928037703</v>
      </c>
      <c r="S40">
        <f t="shared" si="6"/>
        <v>0.8010129331025061</v>
      </c>
      <c r="T40">
        <f>C39*EXP(RATES!O41)*(DATA!$B$6-DATA!$B$12)</f>
        <v>188.12169558198289</v>
      </c>
      <c r="U40">
        <f>B39*EXP(RATES!O41)*(DATA!$B$6-DATA!$B$12)</f>
        <v>752.48678232793156</v>
      </c>
      <c r="V40">
        <f t="shared" si="7"/>
        <v>940.60847790991443</v>
      </c>
      <c r="W40">
        <f t="shared" si="8"/>
        <v>2.0797507125953921E-2</v>
      </c>
      <c r="X40">
        <f>W40*BASE!Q40</f>
        <v>7.7665833444050441E-3</v>
      </c>
    </row>
    <row r="41" spans="1:24" x14ac:dyDescent="0.3">
      <c r="A41" s="5">
        <v>39</v>
      </c>
      <c r="B41">
        <f>B40*EXP(RATES!O42)*(1-DATA!$B$6)</f>
        <v>92822.74661856427</v>
      </c>
      <c r="C41">
        <f>C40*EXP(RATES!O42)*(1-DATA!$B$6)</f>
        <v>23205.686654641067</v>
      </c>
      <c r="D41">
        <f t="shared" si="1"/>
        <v>116028.43327320533</v>
      </c>
      <c r="E41">
        <f>E40*(1-'LIFE TABLE MALE'!D101/1000)</f>
        <v>1.2471630665793342E-2</v>
      </c>
      <c r="F41">
        <f t="shared" si="2"/>
        <v>9.3568935979397225E-4</v>
      </c>
      <c r="G41">
        <f t="shared" si="0"/>
        <v>116008.43327320533</v>
      </c>
      <c r="H41">
        <f>MAX(D41,DATA!$B$3)</f>
        <v>116028.43327320533</v>
      </c>
      <c r="I41">
        <f>G41*DATA!$B$7*F40*E41</f>
        <v>0.23890037255794122</v>
      </c>
      <c r="J41">
        <f>H41*'LIFE TABLE MALE'!D101/1000*F40*E40</f>
        <v>0.97252556550886082</v>
      </c>
      <c r="K41">
        <f>0</f>
        <v>0</v>
      </c>
      <c r="L41" s="43">
        <f>DATA!$B$8*((1+DATA!$B$9)^A40)*F41*E41</f>
        <v>1.2383159401912049E-3</v>
      </c>
      <c r="M41">
        <f>B40*EXP(RATES!O42)*(DATA!$B$12)</f>
        <v>1328.7509740898772</v>
      </c>
      <c r="N41">
        <f>C40*EXP(RATES!O42)*(DATA!$B$12)</f>
        <v>332.1877435224693</v>
      </c>
      <c r="O41">
        <f t="shared" si="3"/>
        <v>1660.9387176123464</v>
      </c>
      <c r="P41">
        <f t="shared" si="4"/>
        <v>1.9382444140887918E-2</v>
      </c>
      <c r="Q41">
        <f>RATES!G42</f>
        <v>0.36195193998143993</v>
      </c>
      <c r="R41" s="46">
        <f t="shared" si="5"/>
        <v>1.2320466981478813</v>
      </c>
      <c r="S41">
        <f t="shared" si="6"/>
        <v>0.44594169254235316</v>
      </c>
      <c r="T41">
        <f>C40*EXP(RATES!O42)*(DATA!$B$6-DATA!$B$12)</f>
        <v>189.82156772712528</v>
      </c>
      <c r="U41">
        <f>B40*EXP(RATES!O42)*(DATA!$B$6-DATA!$B$12)</f>
        <v>759.28627090850114</v>
      </c>
      <c r="V41">
        <f t="shared" si="7"/>
        <v>949.10783863562642</v>
      </c>
      <c r="W41">
        <f t="shared" si="8"/>
        <v>1.1075682366221667E-2</v>
      </c>
      <c r="X41">
        <f>W41*BASE!Q41</f>
        <v>4.0088647190721577E-3</v>
      </c>
    </row>
    <row r="42" spans="1:24" x14ac:dyDescent="0.3">
      <c r="A42" s="6">
        <v>40</v>
      </c>
      <c r="B42">
        <f>B41*EXP(RATES!O43)*(1-DATA!$B$6)</f>
        <v>93686.981367791916</v>
      </c>
      <c r="C42">
        <f>C41*EXP(RATES!O43)*(1-DATA!$B$6)</f>
        <v>23421.745341947979</v>
      </c>
      <c r="D42">
        <f t="shared" si="1"/>
        <v>117108.72670973989</v>
      </c>
      <c r="E42">
        <f>E41*(1-'LIFE TABLE MALE'!D102/1000)</f>
        <v>7.4516144932450555E-3</v>
      </c>
      <c r="F42">
        <f t="shared" si="2"/>
        <v>7.9533595582487637E-4</v>
      </c>
      <c r="G42">
        <f t="shared" si="0"/>
        <v>117088.72670973989</v>
      </c>
      <c r="H42">
        <f>MAX(D42,DATA!$B$3)</f>
        <v>117108.72670973989</v>
      </c>
      <c r="I42">
        <f>G42*DATA!$B$7*F41*E42</f>
        <v>0.12245835239417441</v>
      </c>
      <c r="J42">
        <f>H42*'LIFE TABLE MALE'!D102/1000*F41*E41</f>
        <v>0.55008026754266848</v>
      </c>
      <c r="K42">
        <f>0</f>
        <v>0</v>
      </c>
      <c r="L42" s="43">
        <f>DATA!$B$8*((1+DATA!$B$9)^A41)*F42*E42</f>
        <v>6.4147199123988359E-4</v>
      </c>
      <c r="M42">
        <f>B41*EXP(RATES!O43)*(DATA!$B$12)</f>
        <v>1341.122432667778</v>
      </c>
      <c r="N42">
        <f>C41*EXP(RATES!O43)*(DATA!$B$12)</f>
        <v>335.28060816694449</v>
      </c>
      <c r="O42">
        <f t="shared" si="3"/>
        <v>1676.4030408347226</v>
      </c>
      <c r="P42">
        <f t="shared" si="4"/>
        <v>9.9352645401633508E-3</v>
      </c>
      <c r="Q42">
        <f>RATES!G43</f>
        <v>0.35072355328981947</v>
      </c>
      <c r="R42" s="46">
        <f t="shared" si="5"/>
        <v>0.68311535646824617</v>
      </c>
      <c r="S42">
        <f t="shared" si="6"/>
        <v>0.23958464512738495</v>
      </c>
      <c r="T42">
        <f>C41*EXP(RATES!O43)*(DATA!$B$6-DATA!$B$12)</f>
        <v>191.58891895253967</v>
      </c>
      <c r="U42">
        <f>B41*EXP(RATES!O43)*(DATA!$B$6-DATA!$B$12)</f>
        <v>766.35567581015869</v>
      </c>
      <c r="V42">
        <f t="shared" si="7"/>
        <v>957.94459476269833</v>
      </c>
      <c r="W42">
        <f t="shared" si="8"/>
        <v>5.6772940229504847E-3</v>
      </c>
      <c r="X42">
        <f>W42*BASE!Q42</f>
        <v>1.9911607328002481E-3</v>
      </c>
    </row>
    <row r="43" spans="1:24" x14ac:dyDescent="0.3">
      <c r="A43" s="5">
        <v>41</v>
      </c>
      <c r="B43">
        <f>B42*EXP(RATES!O44)*(1-DATA!$B$6)</f>
        <v>94547.223145914031</v>
      </c>
      <c r="C43">
        <f>C42*EXP(RATES!O44)*(1-DATA!$B$6)</f>
        <v>23636.805786478508</v>
      </c>
      <c r="D43">
        <f t="shared" si="1"/>
        <v>118184.02893239254</v>
      </c>
      <c r="E43">
        <f>E42*(1-'LIFE TABLE MALE'!D103/1000)</f>
        <v>4.2161420347981409E-3</v>
      </c>
      <c r="F43">
        <f t="shared" si="2"/>
        <v>6.7603556245114486E-4</v>
      </c>
      <c r="G43">
        <f t="shared" si="0"/>
        <v>118164.02893239254</v>
      </c>
      <c r="H43">
        <f>MAX(D43,DATA!$B$3)</f>
        <v>118184.02893239254</v>
      </c>
      <c r="I43">
        <f>G43*DATA!$B$7*F42*E43</f>
        <v>5.9435018072736677E-2</v>
      </c>
      <c r="J43">
        <f>H43*'LIFE TABLE MALE'!D103/1000*F42*E42</f>
        <v>0.30412149383964354</v>
      </c>
      <c r="K43">
        <f>0</f>
        <v>0</v>
      </c>
      <c r="L43" s="43">
        <f>DATA!$B$8*((1+DATA!$B$9)^A42)*F43*E43</f>
        <v>3.1467457207091606E-4</v>
      </c>
      <c r="M43">
        <f>B42*EXP(RATES!O44)*(DATA!$B$12)</f>
        <v>1353.4367321500988</v>
      </c>
      <c r="N43">
        <f>C42*EXP(RATES!O44)*(DATA!$B$12)</f>
        <v>338.3591830375247</v>
      </c>
      <c r="O43">
        <f t="shared" si="3"/>
        <v>1691.7959151876235</v>
      </c>
      <c r="P43">
        <f t="shared" si="4"/>
        <v>4.8220615273861277E-3</v>
      </c>
      <c r="Q43">
        <f>RATES!G44</f>
        <v>0.33988676611542612</v>
      </c>
      <c r="R43" s="46">
        <f t="shared" si="5"/>
        <v>0.36869324801183723</v>
      </c>
      <c r="S43">
        <f t="shared" si="6"/>
        <v>0.1253139557553361</v>
      </c>
      <c r="T43">
        <f>C42*EXP(RATES!O44)*(DATA!$B$6-DATA!$B$12)</f>
        <v>193.34810459287121</v>
      </c>
      <c r="U43">
        <f>B42*EXP(RATES!O44)*(DATA!$B$6-DATA!$B$12)</f>
        <v>773.39241837148484</v>
      </c>
      <c r="V43">
        <f t="shared" si="7"/>
        <v>966.74052296435605</v>
      </c>
      <c r="W43">
        <f t="shared" si="8"/>
        <v>2.7554637299349294E-3</v>
      </c>
      <c r="X43">
        <f>W43*BASE!Q43</f>
        <v>9.3654565631593302E-4</v>
      </c>
    </row>
    <row r="44" spans="1:24" x14ac:dyDescent="0.3">
      <c r="A44" s="5">
        <v>42</v>
      </c>
      <c r="B44">
        <f>B43*EXP(RATES!O45)*(1-DATA!$B$6)</f>
        <v>95439.467610481792</v>
      </c>
      <c r="C44">
        <f>C43*EXP(RATES!O45)*(1-DATA!$B$6)</f>
        <v>23859.866902620448</v>
      </c>
      <c r="D44">
        <f t="shared" si="1"/>
        <v>119299.33451310224</v>
      </c>
      <c r="E44">
        <f>E43*(1-'LIFE TABLE MALE'!D104/1000)</f>
        <v>2.2139168837298946E-3</v>
      </c>
      <c r="F44">
        <f t="shared" si="2"/>
        <v>5.7463022808347313E-4</v>
      </c>
      <c r="G44">
        <f t="shared" si="0"/>
        <v>119279.33451310224</v>
      </c>
      <c r="H44">
        <f>MAX(D44,DATA!$B$3)</f>
        <v>119299.33451310224</v>
      </c>
      <c r="I44">
        <f>G44*DATA!$B$7*F43*E44</f>
        <v>2.6778566272093775E-2</v>
      </c>
      <c r="J44">
        <f>H44*'LIFE TABLE MALE'!D104/1000*F43*E43</f>
        <v>0.16148064516774271</v>
      </c>
      <c r="K44">
        <f>0</f>
        <v>0</v>
      </c>
      <c r="L44" s="43">
        <f>DATA!$B$8*((1+DATA!$B$9)^A43)*F44*E44</f>
        <v>1.4326062018799084E-4</v>
      </c>
      <c r="M44">
        <f>B43*EXP(RATES!O45)*(DATA!$B$12)</f>
        <v>1366.2091477983079</v>
      </c>
      <c r="N44">
        <f>C43*EXP(RATES!O45)*(DATA!$B$12)</f>
        <v>341.55228694957697</v>
      </c>
      <c r="O44">
        <f t="shared" si="3"/>
        <v>1707.7614347478848</v>
      </c>
      <c r="P44">
        <f t="shared" si="4"/>
        <v>2.1725860282726509E-3</v>
      </c>
      <c r="Q44">
        <f>RATES!G45</f>
        <v>0.32930162970189214</v>
      </c>
      <c r="R44" s="46">
        <f t="shared" si="5"/>
        <v>0.19057505808829711</v>
      </c>
      <c r="S44">
        <f t="shared" si="6"/>
        <v>6.2756677209009001E-2</v>
      </c>
      <c r="T44">
        <f>C43*EXP(RATES!O45)*(DATA!$B$6-DATA!$B$12)</f>
        <v>195.17273539975824</v>
      </c>
      <c r="U44">
        <f>B43*EXP(RATES!O45)*(DATA!$B$6-DATA!$B$12)</f>
        <v>780.69094159903295</v>
      </c>
      <c r="V44">
        <f t="shared" si="7"/>
        <v>975.86367699879122</v>
      </c>
      <c r="W44">
        <f t="shared" si="8"/>
        <v>1.2414777304415145E-3</v>
      </c>
      <c r="X44">
        <f>W44*BASE!Q44</f>
        <v>4.088206398729971E-4</v>
      </c>
    </row>
    <row r="45" spans="1:24" x14ac:dyDescent="0.3">
      <c r="A45" s="5">
        <v>43</v>
      </c>
      <c r="B45">
        <f>B44*EXP(RATES!O46)*(1-DATA!$B$6)</f>
        <v>96364.465078835521</v>
      </c>
      <c r="C45">
        <f>C44*EXP(RATES!O46)*(1-DATA!$B$6)</f>
        <v>24091.11626970888</v>
      </c>
      <c r="D45">
        <f t="shared" si="1"/>
        <v>120455.58134854439</v>
      </c>
      <c r="E45">
        <f>E44*(1-'LIFE TABLE MALE'!D105/1000)</f>
        <v>1.0858367228099039E-3</v>
      </c>
      <c r="F45">
        <f t="shared" si="2"/>
        <v>4.8843569387095219E-4</v>
      </c>
      <c r="G45">
        <f t="shared" si="0"/>
        <v>120435.58134854439</v>
      </c>
      <c r="H45">
        <f>MAX(D45,DATA!$B$3)</f>
        <v>120455.58134854439</v>
      </c>
      <c r="I45">
        <f>G45*DATA!$B$7*F44*E45</f>
        <v>1.1271950314569833E-2</v>
      </c>
      <c r="J45">
        <f>H45*'LIFE TABLE MALE'!D105/1000*F44*E44</f>
        <v>7.8082796243745339E-2</v>
      </c>
      <c r="K45">
        <f>0</f>
        <v>0</v>
      </c>
      <c r="L45" s="43">
        <f>DATA!$B$8*((1+DATA!$B$9)^A44)*F45*E45</f>
        <v>6.09184910660157E-5</v>
      </c>
      <c r="M45">
        <f>B44*EXP(RATES!O46)*(DATA!$B$12)</f>
        <v>1379.4504203514286</v>
      </c>
      <c r="N45">
        <f>C44*EXP(RATES!O46)*(DATA!$B$12)</f>
        <v>344.86260508785716</v>
      </c>
      <c r="O45">
        <f t="shared" si="3"/>
        <v>1724.3130254392859</v>
      </c>
      <c r="P45">
        <f t="shared" si="4"/>
        <v>9.1450909286116394E-4</v>
      </c>
      <c r="Q45">
        <f>RATES!G46</f>
        <v>0.3189655855815991</v>
      </c>
      <c r="R45" s="46">
        <f t="shared" si="5"/>
        <v>9.0330174142242356E-2</v>
      </c>
      <c r="S45">
        <f t="shared" si="6"/>
        <v>2.8812216890968155E-2</v>
      </c>
      <c r="T45">
        <f>C44*EXP(RATES!O46)*(DATA!$B$6-DATA!$B$12)</f>
        <v>197.06434576448979</v>
      </c>
      <c r="U45">
        <f>B44*EXP(RATES!O46)*(DATA!$B$6-DATA!$B$12)</f>
        <v>788.25738305795915</v>
      </c>
      <c r="V45">
        <f t="shared" si="7"/>
        <v>985.3217288224489</v>
      </c>
      <c r="W45">
        <f t="shared" si="8"/>
        <v>5.2257662449209353E-4</v>
      </c>
      <c r="X45">
        <f>W45*BASE!Q45</f>
        <v>1.6668395904237602E-4</v>
      </c>
    </row>
    <row r="46" spans="1:24" x14ac:dyDescent="0.3">
      <c r="A46" s="5">
        <v>44</v>
      </c>
      <c r="B46">
        <f>B45*EXP(RATES!O47)*(1-DATA!$B$6)</f>
        <v>97281.312696218753</v>
      </c>
      <c r="C46">
        <f>C45*EXP(RATES!O47)*(1-DATA!$B$6)</f>
        <v>24320.328174054688</v>
      </c>
      <c r="D46">
        <f t="shared" si="1"/>
        <v>121601.64087027343</v>
      </c>
      <c r="E46">
        <f>E45*(1-'LIFE TABLE MALE'!D106/1000)</f>
        <v>4.9467420147581884E-4</v>
      </c>
      <c r="F46">
        <f t="shared" si="2"/>
        <v>4.1517033979030936E-4</v>
      </c>
      <c r="G46">
        <f t="shared" si="0"/>
        <v>121581.64087027343</v>
      </c>
      <c r="H46">
        <f>MAX(D46,DATA!$B$3)</f>
        <v>121601.64087027343</v>
      </c>
      <c r="I46">
        <f>G46*DATA!$B$7*F45*E46</f>
        <v>4.4064202515217265E-3</v>
      </c>
      <c r="J46">
        <f>H46*'LIFE TABLE MALE'!D106/1000*F45*E45</f>
        <v>3.5111850750759274E-2</v>
      </c>
      <c r="K46">
        <f>0</f>
        <v>0</v>
      </c>
      <c r="L46" s="43">
        <f>DATA!$B$8*((1+DATA!$B$9)^A45)*F46*E46</f>
        <v>2.4061515130744415E-5</v>
      </c>
      <c r="M46">
        <f>B45*EXP(RATES!O47)*(DATA!$B$12)</f>
        <v>1392.5750283712298</v>
      </c>
      <c r="N46">
        <f>C45*EXP(RATES!O47)*(DATA!$B$12)</f>
        <v>348.14375709280745</v>
      </c>
      <c r="O46">
        <f t="shared" si="3"/>
        <v>1740.7187854640372</v>
      </c>
      <c r="P46">
        <f t="shared" si="4"/>
        <v>3.5749847786962282E-4</v>
      </c>
      <c r="Q46">
        <f>RATES!G47</f>
        <v>0.30900832177573956</v>
      </c>
      <c r="R46" s="46">
        <f t="shared" si="5"/>
        <v>3.9899830995281368E-2</v>
      </c>
      <c r="S46">
        <f t="shared" si="6"/>
        <v>1.2329379814987532E-2</v>
      </c>
      <c r="T46">
        <f>C45*EXP(RATES!O47)*(DATA!$B$6-DATA!$B$12)</f>
        <v>198.93928976731848</v>
      </c>
      <c r="U46">
        <f>B45*EXP(RATES!O47)*(DATA!$B$6-DATA!$B$12)</f>
        <v>795.75715906927394</v>
      </c>
      <c r="V46">
        <f t="shared" si="7"/>
        <v>994.69644883659248</v>
      </c>
      <c r="W46">
        <f t="shared" si="8"/>
        <v>2.0428484449692727E-4</v>
      </c>
      <c r="X46">
        <f>W46*BASE!Q46</f>
        <v>6.3125716962213424E-5</v>
      </c>
    </row>
    <row r="47" spans="1:24" x14ac:dyDescent="0.3">
      <c r="A47" s="6">
        <v>45</v>
      </c>
      <c r="B47">
        <f>B46*EXP(RATES!O48)*(1-DATA!$B$6)</f>
        <v>98229.776108477323</v>
      </c>
      <c r="C47">
        <f>C46*EXP(RATES!O48)*(1-DATA!$B$6)</f>
        <v>24557.444027119331</v>
      </c>
      <c r="D47">
        <f t="shared" si="1"/>
        <v>122787.22013559665</v>
      </c>
      <c r="E47">
        <f>E46*(1-'LIFE TABLE MALE'!D107/1000)</f>
        <v>2.0813801883623825E-4</v>
      </c>
      <c r="F47">
        <f t="shared" si="2"/>
        <v>3.5289478882176293E-4</v>
      </c>
      <c r="G47">
        <f t="shared" si="0"/>
        <v>122767.22013559665</v>
      </c>
      <c r="H47">
        <f>MAX(D47,DATA!$B$3)</f>
        <v>122787.22013559665</v>
      </c>
      <c r="I47">
        <f>G47*DATA!$B$7*F46*E47</f>
        <v>1.5912976338592212E-3</v>
      </c>
      <c r="J47">
        <f>H47*'LIFE TABLE MALE'!D107/1000*F46*E46</f>
        <v>1.4606930315513569E-2</v>
      </c>
      <c r="K47">
        <f>0</f>
        <v>0</v>
      </c>
      <c r="L47" s="43">
        <f>DATA!$B$8*((1+DATA!$B$9)^A46)*F47*E47</f>
        <v>8.7775684210985889E-6</v>
      </c>
      <c r="M47">
        <f>B46*EXP(RATES!O48)*(DATA!$B$12)</f>
        <v>1406.1522142317817</v>
      </c>
      <c r="N47">
        <f>C46*EXP(RATES!O48)*(DATA!$B$12)</f>
        <v>351.53805355794543</v>
      </c>
      <c r="O47">
        <f t="shared" si="3"/>
        <v>1757.6902677897272</v>
      </c>
      <c r="P47">
        <f t="shared" si="4"/>
        <v>1.2910379534735689E-4</v>
      </c>
      <c r="Q47">
        <f>RATES!G48</f>
        <v>0.29929213083059769</v>
      </c>
      <c r="R47" s="46">
        <f t="shared" si="5"/>
        <v>1.6336109313141247E-2</v>
      </c>
      <c r="S47">
        <f t="shared" si="6"/>
        <v>4.8892689658116151E-3</v>
      </c>
      <c r="T47">
        <f>C46*EXP(RATES!O48)*(DATA!$B$6-DATA!$B$12)</f>
        <v>200.87888774739736</v>
      </c>
      <c r="U47">
        <f>B46*EXP(RATES!O48)*(DATA!$B$6-DATA!$B$12)</f>
        <v>803.51555098958943</v>
      </c>
      <c r="V47">
        <f t="shared" si="7"/>
        <v>1004.3944387369868</v>
      </c>
      <c r="W47">
        <f t="shared" si="8"/>
        <v>7.3773597341346783E-5</v>
      </c>
      <c r="X47">
        <f>W47*BASE!Q47</f>
        <v>2.2079857147330194E-5</v>
      </c>
    </row>
    <row r="48" spans="1:24" x14ac:dyDescent="0.3">
      <c r="A48" s="5">
        <v>46</v>
      </c>
      <c r="B48">
        <f>B47*EXP(RATES!O49)*(1-DATA!$B$6)</f>
        <v>99166.189047448002</v>
      </c>
      <c r="C48">
        <f>C47*EXP(RATES!O49)*(1-DATA!$B$6)</f>
        <v>24791.547261862001</v>
      </c>
      <c r="D48">
        <f t="shared" si="1"/>
        <v>123957.73630931</v>
      </c>
      <c r="E48">
        <f>E47*(1-'LIFE TABLE MALE'!D108/1000)</f>
        <v>8.0415959354706781E-5</v>
      </c>
      <c r="F48">
        <f t="shared" si="2"/>
        <v>2.9996057049849848E-4</v>
      </c>
      <c r="G48">
        <f t="shared" si="0"/>
        <v>123937.73630931</v>
      </c>
      <c r="H48">
        <f>MAX(D48,DATA!$B$3)</f>
        <v>123957.73630931</v>
      </c>
      <c r="I48">
        <f>G48*DATA!$B$7*F47*E48</f>
        <v>5.2757269635968305E-4</v>
      </c>
      <c r="J48">
        <f>H48*'LIFE TABLE MALE'!D108/1000*F47*E47</f>
        <v>5.5870787738163518E-3</v>
      </c>
      <c r="K48">
        <f>0</f>
        <v>0</v>
      </c>
      <c r="L48" s="43">
        <f>DATA!$B$8*((1+DATA!$B$9)^A47)*F48*E48</f>
        <v>2.9402492776181398E-6</v>
      </c>
      <c r="M48">
        <f>B47*EXP(RATES!O49)*(DATA!$B$12)</f>
        <v>1419.5568984297261</v>
      </c>
      <c r="N48">
        <f>C47*EXP(RATES!O49)*(DATA!$B$12)</f>
        <v>354.88922460743152</v>
      </c>
      <c r="O48">
        <f t="shared" si="3"/>
        <v>1774.4461230371576</v>
      </c>
      <c r="P48">
        <f t="shared" si="4"/>
        <v>4.2802509847281033E-5</v>
      </c>
      <c r="Q48">
        <f>RATES!G49</f>
        <v>0.28994370460990543</v>
      </c>
      <c r="R48" s="46">
        <f t="shared" si="5"/>
        <v>6.1603942293009337E-3</v>
      </c>
      <c r="S48">
        <f t="shared" si="6"/>
        <v>1.7861675247009959E-3</v>
      </c>
      <c r="T48">
        <f>C47*EXP(RATES!O49)*(DATA!$B$6-DATA!$B$12)</f>
        <v>202.79384263281796</v>
      </c>
      <c r="U48">
        <f>B47*EXP(RATES!O49)*(DATA!$B$6-DATA!$B$12)</f>
        <v>811.17537053127182</v>
      </c>
      <c r="V48">
        <f t="shared" si="7"/>
        <v>1013.9692131640898</v>
      </c>
      <c r="W48">
        <f t="shared" si="8"/>
        <v>2.4458577055589157E-5</v>
      </c>
      <c r="X48">
        <f>W48*BASE!Q48</f>
        <v>7.0916104409843528E-6</v>
      </c>
    </row>
    <row r="49" spans="1:24" x14ac:dyDescent="0.3">
      <c r="A49" s="5">
        <v>47</v>
      </c>
      <c r="B49">
        <f>B48*EXP(RATES!O50)*(1-DATA!$B$6)</f>
        <v>100132.91784628085</v>
      </c>
      <c r="C49">
        <f>C48*EXP(RATES!O50)*(1-DATA!$B$6)</f>
        <v>25033.229461570212</v>
      </c>
      <c r="D49">
        <f t="shared" si="1"/>
        <v>125166.14730785106</v>
      </c>
      <c r="E49">
        <f>E48*(1-'LIFE TABLE MALE'!D109/1000)</f>
        <v>2.836260995277507E-5</v>
      </c>
      <c r="F49">
        <f t="shared" si="2"/>
        <v>2.5496648492372371E-4</v>
      </c>
      <c r="G49">
        <f t="shared" si="0"/>
        <v>125146.14730785106</v>
      </c>
      <c r="H49">
        <f>MAX(D49,DATA!$B$3)</f>
        <v>125166.14730785106</v>
      </c>
      <c r="I49">
        <f>G49*DATA!$B$7*F48*E49</f>
        <v>1.5970521826036337E-4</v>
      </c>
      <c r="J49">
        <f>H49*'LIFE TABLE MALE'!D109/1000*F48*E48</f>
        <v>1.9543382640234827E-3</v>
      </c>
      <c r="K49">
        <f>0</f>
        <v>0</v>
      </c>
      <c r="L49" s="43">
        <f>DATA!$B$8*((1+DATA!$B$9)^A48)*F49*E49</f>
        <v>8.9909833731596849E-7</v>
      </c>
      <c r="M49">
        <f>B48*EXP(RATES!O50)*(DATA!$B$12)</f>
        <v>1433.3955519917506</v>
      </c>
      <c r="N49">
        <f>C48*EXP(RATES!O50)*(DATA!$B$12)</f>
        <v>358.34888799793765</v>
      </c>
      <c r="O49">
        <f t="shared" si="3"/>
        <v>1791.7444399896883</v>
      </c>
      <c r="P49">
        <f t="shared" si="4"/>
        <v>1.2957026727517158E-5</v>
      </c>
      <c r="Q49">
        <f>RATES!G50</f>
        <v>0.28082727798558355</v>
      </c>
      <c r="R49" s="46">
        <f t="shared" si="5"/>
        <v>2.1278996073486791E-3</v>
      </c>
      <c r="S49">
        <f t="shared" si="6"/>
        <v>5.9757225455832157E-4</v>
      </c>
      <c r="T49">
        <f>C48*EXP(RATES!O50)*(DATA!$B$6-DATA!$B$12)</f>
        <v>204.77079314167861</v>
      </c>
      <c r="U49">
        <f>B48*EXP(RATES!O50)*(DATA!$B$6-DATA!$B$12)</f>
        <v>819.08317256671444</v>
      </c>
      <c r="V49">
        <f t="shared" si="7"/>
        <v>1023.853965708393</v>
      </c>
      <c r="W49">
        <f t="shared" si="8"/>
        <v>7.4040152728669459E-6</v>
      </c>
      <c r="X49">
        <f>W49*BASE!Q49</f>
        <v>2.079249455242912E-6</v>
      </c>
    </row>
    <row r="50" spans="1:24" x14ac:dyDescent="0.3">
      <c r="A50" s="5">
        <v>48</v>
      </c>
      <c r="B50">
        <f>B49*EXP(RATES!O51)*(1-DATA!$B$6)</f>
        <v>101130.66967745037</v>
      </c>
      <c r="C50">
        <f>C49*EXP(RATES!O51)*(1-DATA!$B$6)</f>
        <v>25282.667419362591</v>
      </c>
      <c r="D50">
        <f t="shared" si="1"/>
        <v>126413.33709681296</v>
      </c>
      <c r="E50">
        <f>E49*(1-'LIFE TABLE MALE'!D110/1000)</f>
        <v>9.0786411414904827E-6</v>
      </c>
      <c r="F50">
        <f t="shared" si="2"/>
        <v>2.1672151218516514E-4</v>
      </c>
      <c r="G50">
        <f t="shared" si="0"/>
        <v>126393.33709681296</v>
      </c>
      <c r="H50">
        <f>MAX(D50,DATA!$B$3)</f>
        <v>126413.33709681296</v>
      </c>
      <c r="I50">
        <f>G50*DATA!$B$7*F49*E50</f>
        <v>4.3885331763582695E-5</v>
      </c>
      <c r="J50">
        <f>H50*'LIFE TABLE MALE'!D110/1000*F49*E49</f>
        <v>6.2154476532018616E-4</v>
      </c>
      <c r="K50">
        <f>0</f>
        <v>0</v>
      </c>
      <c r="L50" s="43">
        <f>DATA!$B$8*((1+DATA!$B$9)^A49)*F50*E50</f>
        <v>2.4951746484252889E-7</v>
      </c>
      <c r="M50">
        <f>B49*EXP(RATES!O51)*(DATA!$B$12)</f>
        <v>1447.678298041212</v>
      </c>
      <c r="N50">
        <f>C49*EXP(RATES!O51)*(DATA!$B$12)</f>
        <v>361.91957451030299</v>
      </c>
      <c r="O50">
        <f t="shared" si="3"/>
        <v>1809.5978725515149</v>
      </c>
      <c r="P50">
        <f t="shared" si="4"/>
        <v>3.5604504739862202E-6</v>
      </c>
      <c r="Q50">
        <f>RATES!G51</f>
        <v>0.27193939918145021</v>
      </c>
      <c r="R50" s="46">
        <f t="shared" si="5"/>
        <v>6.6924006502259753E-4</v>
      </c>
      <c r="S50">
        <f t="shared" si="6"/>
        <v>1.8199274119039984E-4</v>
      </c>
      <c r="T50">
        <f>C49*EXP(RATES!O51)*(DATA!$B$6-DATA!$B$12)</f>
        <v>206.81118543445879</v>
      </c>
      <c r="U50">
        <f>B49*EXP(RATES!O51)*(DATA!$B$6-DATA!$B$12)</f>
        <v>827.24474173783517</v>
      </c>
      <c r="V50">
        <f t="shared" si="7"/>
        <v>1034.0559271722939</v>
      </c>
      <c r="W50">
        <f t="shared" si="8"/>
        <v>2.0345431279921251E-6</v>
      </c>
      <c r="X50">
        <f>W50*BASE!Q50</f>
        <v>5.5327243583492686E-7</v>
      </c>
    </row>
    <row r="51" spans="1:24" x14ac:dyDescent="0.3">
      <c r="A51" s="5">
        <v>49</v>
      </c>
      <c r="B51">
        <f>B50*EXP(RATES!O52)*(1-DATA!$B$6)</f>
        <v>102111.47643077932</v>
      </c>
      <c r="C51">
        <f>C50*EXP(RATES!O52)*(1-DATA!$B$6)</f>
        <v>25527.869107694831</v>
      </c>
      <c r="D51">
        <f t="shared" si="1"/>
        <v>127639.34553847415</v>
      </c>
      <c r="E51">
        <f>E50*(1-'LIFE TABLE MALE'!D111/1000)</f>
        <v>2.622101305262309E-6</v>
      </c>
      <c r="F51">
        <f t="shared" si="2"/>
        <v>1.8421328535739038E-4</v>
      </c>
      <c r="G51">
        <f t="shared" si="0"/>
        <v>127619.34553847415</v>
      </c>
      <c r="H51">
        <f>MAX(D51,DATA!$B$3)</f>
        <v>127639.34553847415</v>
      </c>
      <c r="I51">
        <f>G51*DATA!$B$7*F50*E51</f>
        <v>1.0878255657069281E-5</v>
      </c>
      <c r="J51">
        <f>H51*'LIFE TABLE MALE'!D111/1000*F50*E50</f>
        <v>1.7860204447253563E-4</v>
      </c>
      <c r="K51">
        <f>0</f>
        <v>0</v>
      </c>
      <c r="L51" s="43">
        <f>DATA!$B$8*((1+DATA!$B$9)^A50)*F51*E51</f>
        <v>6.2481099546253074E-8</v>
      </c>
      <c r="M51">
        <f>B50*EXP(RATES!O52)*(DATA!$B$12)</f>
        <v>1461.7184765142235</v>
      </c>
      <c r="N51">
        <f>C50*EXP(RATES!O52)*(DATA!$B$12)</f>
        <v>365.42961912855588</v>
      </c>
      <c r="O51">
        <f t="shared" si="3"/>
        <v>1827.1480956427795</v>
      </c>
      <c r="P51">
        <f t="shared" si="4"/>
        <v>8.8255984599015468E-7</v>
      </c>
      <c r="Q51">
        <f>RATES!G52</f>
        <v>0.26340215020802832</v>
      </c>
      <c r="R51" s="46">
        <f t="shared" si="5"/>
        <v>1.9042534107514131E-4</v>
      </c>
      <c r="S51">
        <f t="shared" si="6"/>
        <v>5.0158444293289398E-5</v>
      </c>
      <c r="T51">
        <f>C50*EXP(RATES!O52)*(DATA!$B$6-DATA!$B$12)</f>
        <v>208.8169252163176</v>
      </c>
      <c r="U51">
        <f>B50*EXP(RATES!O52)*(DATA!$B$6-DATA!$B$12)</f>
        <v>835.2677008652704</v>
      </c>
      <c r="V51">
        <f t="shared" si="7"/>
        <v>1044.0846260815879</v>
      </c>
      <c r="W51">
        <f t="shared" si="8"/>
        <v>5.0431991199437391E-7</v>
      </c>
      <c r="X51">
        <f>W51*BASE!Q51</f>
        <v>1.3283894921204169E-7</v>
      </c>
    </row>
    <row r="52" spans="1:24" x14ac:dyDescent="0.3">
      <c r="A52" s="6">
        <v>50</v>
      </c>
      <c r="B52">
        <f>B51*EXP(RATES!O53)*(1-DATA!$B$6)</f>
        <v>103171.99920404634</v>
      </c>
      <c r="C52">
        <f>C51*EXP(RATES!O53)*(1-DATA!$B$6)</f>
        <v>25792.999801011585</v>
      </c>
      <c r="D52">
        <f t="shared" si="1"/>
        <v>128964.99900505792</v>
      </c>
      <c r="E52">
        <f>E51*(1-'LIFE TABLE MALE'!D112/1000)</f>
        <v>6.794887101443695E-7</v>
      </c>
      <c r="F52">
        <f t="shared" si="2"/>
        <v>1.5658129255378183E-4</v>
      </c>
      <c r="G52">
        <f t="shared" si="0"/>
        <v>128944.99900505792</v>
      </c>
      <c r="H52">
        <f>MAX(D52,DATA!$B$3)</f>
        <v>128964.99900505792</v>
      </c>
      <c r="I52">
        <f>G52*DATA!$B$7*F51*E52</f>
        <v>2.4210232240268316E-6</v>
      </c>
      <c r="J52">
        <f>H52*'LIFE TABLE MALE'!D112/1000*F51*E51</f>
        <v>4.6150775950972134E-5</v>
      </c>
      <c r="K52">
        <f>E52*D52*F52</f>
        <v>1.3721259507228917E-5</v>
      </c>
      <c r="L52" s="43">
        <f>DATA!$B$8*((1+DATA!$B$9)^A51)*F52*E52</f>
        <v>1.4037848131159387E-8</v>
      </c>
      <c r="M52">
        <f>B51*EXP(RATES!O53)*(DATA!$B$12)</f>
        <v>1476.8997841070029</v>
      </c>
      <c r="N52">
        <f>C51*EXP(RATES!O53)*(DATA!$B$12)</f>
        <v>369.22494602675073</v>
      </c>
      <c r="O52">
        <f t="shared" si="3"/>
        <v>1846.1247301337537</v>
      </c>
      <c r="P52">
        <f t="shared" si="4"/>
        <v>1.964188477517432E-7</v>
      </c>
      <c r="Q52">
        <f>RATES!G53</f>
        <v>0.25495931300893881</v>
      </c>
      <c r="R52" s="46">
        <f t="shared" si="5"/>
        <v>6.2503515378110788E-5</v>
      </c>
      <c r="S52">
        <f t="shared" si="6"/>
        <v>1.5935853341446769E-5</v>
      </c>
      <c r="T52">
        <f>C51*EXP(RATES!O53)*(DATA!$B$6-DATA!$B$12)</f>
        <v>210.98568344385751</v>
      </c>
      <c r="U52">
        <f>B51*EXP(RATES!O53)*(DATA!$B$6-DATA!$B$12)</f>
        <v>843.94273377543004</v>
      </c>
      <c r="V52">
        <f>T52+U52</f>
        <v>1054.9284172192874</v>
      </c>
      <c r="W52">
        <f t="shared" si="8"/>
        <v>1.1223934157242465E-7</v>
      </c>
      <c r="X52">
        <f>W52*BASE!Q52</f>
        <v>2.8616465419881014E-8</v>
      </c>
    </row>
    <row r="56" spans="1:24" x14ac:dyDescent="0.3">
      <c r="P56" s="52" t="s">
        <v>56</v>
      </c>
      <c r="Q56" s="47">
        <f>SUM(S3:S52)</f>
        <v>96040.52787540709</v>
      </c>
      <c r="T56" s="56" t="s">
        <v>59</v>
      </c>
    </row>
    <row r="57" spans="1:24" x14ac:dyDescent="0.3">
      <c r="P57" s="54" t="s">
        <v>57</v>
      </c>
      <c r="Q57" s="48">
        <f>DATA!B2-Q56</f>
        <v>3959.4721245929104</v>
      </c>
      <c r="T57" s="52" t="s">
        <v>60</v>
      </c>
      <c r="U57" s="47">
        <f>SUMPRODUCT(J3:J52,Q3:Q52)</f>
        <v>3701.0644150638723</v>
      </c>
    </row>
    <row r="58" spans="1:24" x14ac:dyDescent="0.3">
      <c r="T58" s="53" t="s">
        <v>61</v>
      </c>
      <c r="U58" s="50">
        <f>SUMPRODUCT(I3:I52,Q3:Q52)</f>
        <v>88719.404339807661</v>
      </c>
    </row>
    <row r="59" spans="1:24" x14ac:dyDescent="0.3">
      <c r="P59" s="55" t="s">
        <v>58</v>
      </c>
      <c r="Q59" s="49">
        <f>SUMPRODUCT(S3:S52,A3:A52)/SUM(S3:S52)</f>
        <v>3.4028788805093204</v>
      </c>
      <c r="T59" s="53" t="s">
        <v>47</v>
      </c>
      <c r="U59" s="51">
        <f>SUMPRODUCT(L3:L52,Q3:Q52)</f>
        <v>131.09287051094176</v>
      </c>
    </row>
    <row r="60" spans="1:24" x14ac:dyDescent="0.3">
      <c r="T60" s="54" t="s">
        <v>48</v>
      </c>
      <c r="U60" s="48">
        <f>SUMPRODUCT(P3:P52,Q3:Q52)</f>
        <v>3488.9662465262741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63C4-DA15-413F-9B4F-FBF6525D3E81}">
  <dimension ref="A1:V20"/>
  <sheetViews>
    <sheetView tabSelected="1" zoomScale="86" workbookViewId="0">
      <selection activeCell="B3" sqref="B3"/>
    </sheetView>
  </sheetViews>
  <sheetFormatPr defaultColWidth="8.796875" defaultRowHeight="15.6" x14ac:dyDescent="0.3"/>
  <cols>
    <col min="5" max="5" width="13.69921875" customWidth="1"/>
    <col min="11" max="11" width="9.59765625" bestFit="1" customWidth="1"/>
    <col min="21" max="21" width="14.796875" customWidth="1"/>
    <col min="22" max="22" width="9.19921875" bestFit="1" customWidth="1"/>
  </cols>
  <sheetData>
    <row r="1" spans="1:22" ht="16.2" thickBot="1" x14ac:dyDescent="0.35">
      <c r="A1" s="57"/>
      <c r="B1" s="57"/>
      <c r="C1" s="57"/>
      <c r="D1" s="57"/>
      <c r="E1" s="57"/>
      <c r="H1" s="57"/>
      <c r="I1" s="57"/>
      <c r="J1" s="57"/>
      <c r="K1" s="57"/>
      <c r="L1" s="57"/>
      <c r="M1" s="57"/>
      <c r="N1" s="57"/>
      <c r="O1" s="57"/>
      <c r="P1" s="57"/>
    </row>
    <row r="2" spans="1:22" ht="16.2" thickBot="1" x14ac:dyDescent="0.35">
      <c r="A2" s="57"/>
      <c r="B2" s="119" t="s">
        <v>66</v>
      </c>
      <c r="C2" s="120"/>
      <c r="D2" s="58"/>
      <c r="E2" s="57"/>
      <c r="H2" s="57"/>
      <c r="I2" s="98"/>
      <c r="J2" s="98"/>
      <c r="K2" s="98"/>
      <c r="L2" s="98"/>
      <c r="M2" s="57"/>
      <c r="N2" s="59" t="s">
        <v>67</v>
      </c>
      <c r="O2" s="60"/>
      <c r="P2" s="60"/>
      <c r="Q2" s="61"/>
    </row>
    <row r="3" spans="1:22" ht="16.2" thickBot="1" x14ac:dyDescent="0.35">
      <c r="A3" s="57"/>
      <c r="B3" s="62" t="s">
        <v>68</v>
      </c>
      <c r="C3" s="63" t="s">
        <v>69</v>
      </c>
      <c r="D3" s="64" t="s">
        <v>70</v>
      </c>
      <c r="E3" s="57"/>
      <c r="H3" s="57"/>
      <c r="I3" s="57"/>
      <c r="J3" s="57"/>
      <c r="K3" s="57"/>
      <c r="L3" s="57"/>
      <c r="M3" s="57"/>
      <c r="N3" s="65" t="s">
        <v>71</v>
      </c>
      <c r="O3" s="66" t="s">
        <v>72</v>
      </c>
      <c r="P3" s="66" t="s">
        <v>73</v>
      </c>
      <c r="Q3" s="66" t="s">
        <v>74</v>
      </c>
    </row>
    <row r="4" spans="1:22" ht="16.2" thickBot="1" x14ac:dyDescent="0.35">
      <c r="A4" s="57"/>
      <c r="B4" s="67">
        <f>MAX(V7,V8,0)</f>
        <v>359.45700473642501</v>
      </c>
      <c r="C4" s="68">
        <f>MAX(0,V5)</f>
        <v>1790.2663881955596</v>
      </c>
      <c r="D4" s="69">
        <f>MAX(0,V6)</f>
        <v>286.90166477496678</v>
      </c>
      <c r="E4" s="57"/>
      <c r="H4" s="57"/>
      <c r="I4" s="57"/>
      <c r="J4" s="57"/>
      <c r="K4" s="57"/>
      <c r="L4" s="57"/>
      <c r="M4" s="57"/>
      <c r="N4" s="67">
        <f>MAX(0,V10)</f>
        <v>29.306650476166396</v>
      </c>
      <c r="O4" s="70">
        <f>MAX(0,V12,V13,V14)</f>
        <v>1546.912029034138</v>
      </c>
      <c r="P4" s="70">
        <f>MAX(0,V11)</f>
        <v>4.9918629510793835</v>
      </c>
      <c r="Q4" s="70">
        <f>MAX(0,V9)</f>
        <v>38.106405239974265</v>
      </c>
      <c r="U4" s="114" t="s">
        <v>92</v>
      </c>
      <c r="V4" s="115"/>
    </row>
    <row r="5" spans="1:22" ht="16.2" thickBot="1" x14ac:dyDescent="0.35">
      <c r="A5" s="57"/>
      <c r="B5" s="57"/>
      <c r="C5" s="57"/>
      <c r="D5" s="57"/>
      <c r="E5" s="57"/>
      <c r="H5" s="57"/>
      <c r="I5" s="57"/>
      <c r="J5" s="57"/>
      <c r="K5" s="57"/>
      <c r="L5" s="57"/>
      <c r="M5" s="57"/>
      <c r="N5" s="57"/>
      <c r="O5" s="57"/>
      <c r="P5" s="57"/>
      <c r="U5" s="99" t="s">
        <v>100</v>
      </c>
      <c r="V5" s="102">
        <f>MAX(BASE!Q57-'EQ STRESS 1'!Q57,0)</f>
        <v>1790.2663881955596</v>
      </c>
    </row>
    <row r="6" spans="1:22" ht="16.2" thickBot="1" x14ac:dyDescent="0.35">
      <c r="A6" s="57"/>
      <c r="B6" s="121" t="s">
        <v>75</v>
      </c>
      <c r="C6" s="122"/>
      <c r="D6" s="122"/>
      <c r="E6" s="71"/>
      <c r="H6" s="121" t="s">
        <v>76</v>
      </c>
      <c r="I6" s="122"/>
      <c r="J6" s="122"/>
      <c r="K6" s="71"/>
      <c r="M6" s="72"/>
      <c r="N6" s="73" t="s">
        <v>77</v>
      </c>
      <c r="O6" s="74"/>
      <c r="P6" s="74"/>
      <c r="Q6" s="74"/>
      <c r="R6" s="75"/>
      <c r="U6" s="99" t="s">
        <v>101</v>
      </c>
      <c r="V6" s="102">
        <f>MAX(BASE!Q57-'PROPERTY STRESS'!Q57,0)</f>
        <v>286.90166477496678</v>
      </c>
    </row>
    <row r="7" spans="1:22" x14ac:dyDescent="0.3">
      <c r="A7" s="57"/>
      <c r="B7" s="76" t="s">
        <v>78</v>
      </c>
      <c r="C7" s="77" t="s">
        <v>68</v>
      </c>
      <c r="D7" s="77" t="s">
        <v>79</v>
      </c>
      <c r="E7" s="78" t="s">
        <v>80</v>
      </c>
      <c r="H7" s="76" t="s">
        <v>78</v>
      </c>
      <c r="I7" s="77" t="s">
        <v>68</v>
      </c>
      <c r="J7" s="77" t="s">
        <v>79</v>
      </c>
      <c r="K7" s="78" t="s">
        <v>80</v>
      </c>
      <c r="M7" s="79"/>
      <c r="N7" s="76" t="s">
        <v>78</v>
      </c>
      <c r="O7" s="66" t="s">
        <v>71</v>
      </c>
      <c r="P7" s="66" t="s">
        <v>72</v>
      </c>
      <c r="Q7" s="66" t="s">
        <v>81</v>
      </c>
      <c r="R7" s="66" t="s">
        <v>82</v>
      </c>
      <c r="U7" s="99" t="s">
        <v>93</v>
      </c>
      <c r="V7" s="102">
        <f>MAX(BASE!Q57-'IR UP '!Q57,0)</f>
        <v>0</v>
      </c>
    </row>
    <row r="8" spans="1:22" x14ac:dyDescent="0.3">
      <c r="A8" s="57"/>
      <c r="B8" s="80" t="s">
        <v>68</v>
      </c>
      <c r="C8" s="81">
        <v>1</v>
      </c>
      <c r="D8" s="82">
        <v>0</v>
      </c>
      <c r="E8" s="83">
        <v>0</v>
      </c>
      <c r="H8" s="80" t="s">
        <v>68</v>
      </c>
      <c r="I8" s="81">
        <v>1</v>
      </c>
      <c r="J8" s="81">
        <v>0.5</v>
      </c>
      <c r="K8" s="83">
        <v>0.5</v>
      </c>
      <c r="M8" s="79"/>
      <c r="N8" s="65" t="s">
        <v>71</v>
      </c>
      <c r="O8" s="81">
        <v>1</v>
      </c>
      <c r="P8" s="81">
        <v>0</v>
      </c>
      <c r="Q8" s="81">
        <v>0.25</v>
      </c>
      <c r="R8" s="81">
        <v>0.25</v>
      </c>
      <c r="U8" s="100" t="s">
        <v>94</v>
      </c>
      <c r="V8" s="102">
        <f>MAX(BASE!Q57-'IR DOWN '!Q57,0)</f>
        <v>359.45700473642501</v>
      </c>
    </row>
    <row r="9" spans="1:22" x14ac:dyDescent="0.3">
      <c r="A9" s="57"/>
      <c r="B9" s="84" t="s">
        <v>79</v>
      </c>
      <c r="C9" s="85">
        <v>0</v>
      </c>
      <c r="D9" s="79">
        <v>1</v>
      </c>
      <c r="E9" s="86">
        <v>0.75</v>
      </c>
      <c r="H9" s="80" t="s">
        <v>79</v>
      </c>
      <c r="I9" s="81">
        <v>0.5</v>
      </c>
      <c r="J9" s="81">
        <v>1</v>
      </c>
      <c r="K9" s="86">
        <v>0.75</v>
      </c>
      <c r="M9" s="79"/>
      <c r="N9" s="65" t="s">
        <v>72</v>
      </c>
      <c r="O9" s="81">
        <v>0</v>
      </c>
      <c r="P9" s="81">
        <v>1</v>
      </c>
      <c r="Q9" s="81">
        <v>0.25</v>
      </c>
      <c r="R9" s="81">
        <v>0.5</v>
      </c>
      <c r="U9" s="99" t="s">
        <v>99</v>
      </c>
      <c r="V9" s="102">
        <f>MAX(BASE!Q57-'EXPENSE STRESS'!Q57,0)</f>
        <v>38.106405239974265</v>
      </c>
    </row>
    <row r="10" spans="1:22" x14ac:dyDescent="0.3">
      <c r="A10" s="57"/>
      <c r="B10" s="87" t="s">
        <v>80</v>
      </c>
      <c r="C10" s="88">
        <v>0</v>
      </c>
      <c r="D10" s="89">
        <v>0.75</v>
      </c>
      <c r="E10" s="90">
        <v>1</v>
      </c>
      <c r="H10" s="87" t="s">
        <v>80</v>
      </c>
      <c r="I10" s="88">
        <v>0.5</v>
      </c>
      <c r="J10" s="89">
        <v>0.75</v>
      </c>
      <c r="K10" s="90">
        <v>1</v>
      </c>
      <c r="M10" s="79"/>
      <c r="N10" s="65" t="s">
        <v>81</v>
      </c>
      <c r="O10" s="81">
        <v>0.25</v>
      </c>
      <c r="P10" s="81">
        <v>0.25</v>
      </c>
      <c r="Q10" s="81">
        <v>1</v>
      </c>
      <c r="R10" s="81">
        <v>0.25</v>
      </c>
      <c r="U10" s="99" t="s">
        <v>71</v>
      </c>
      <c r="V10" s="102">
        <f>MAX(BASE!Q57-MORTALITY!Q57,0)</f>
        <v>29.306650476166396</v>
      </c>
    </row>
    <row r="11" spans="1:22" x14ac:dyDescent="0.3">
      <c r="A11" s="57"/>
      <c r="B11" s="57"/>
      <c r="C11" s="57"/>
      <c r="D11" s="57"/>
      <c r="E11" s="57"/>
      <c r="H11" s="57"/>
      <c r="I11" s="57"/>
      <c r="J11" s="57"/>
      <c r="M11" s="57"/>
      <c r="N11" s="65" t="s">
        <v>82</v>
      </c>
      <c r="O11" s="81">
        <v>0.25</v>
      </c>
      <c r="P11" s="81">
        <v>0.5</v>
      </c>
      <c r="Q11" s="81">
        <v>0.25</v>
      </c>
      <c r="R11" s="81">
        <v>1</v>
      </c>
      <c r="U11" s="99" t="s">
        <v>73</v>
      </c>
      <c r="V11" s="102">
        <f>MAX(BASE!Q57-'LIFE CAT'!Q57,0)</f>
        <v>4.9918629510793835</v>
      </c>
    </row>
    <row r="12" spans="1:22" x14ac:dyDescent="0.3">
      <c r="L12" s="57"/>
      <c r="M12" s="57"/>
      <c r="N12" s="57"/>
      <c r="U12" s="99" t="s">
        <v>24</v>
      </c>
      <c r="V12" s="102">
        <f>MAX(BASE!Q57-'LAPSE STRESS UP '!Q57,0)</f>
        <v>1130.4727217529144</v>
      </c>
    </row>
    <row r="13" spans="1:22" x14ac:dyDescent="0.3">
      <c r="L13" s="57"/>
      <c r="M13" s="57"/>
      <c r="N13" s="57"/>
      <c r="U13" s="99" t="s">
        <v>102</v>
      </c>
      <c r="V13" s="102">
        <f>MAX(BASE!Q57-'LAPSE STRESS DOWN'!Q57,0)</f>
        <v>0</v>
      </c>
    </row>
    <row r="14" spans="1:22" x14ac:dyDescent="0.3">
      <c r="L14" s="57"/>
      <c r="M14" s="57"/>
      <c r="N14" s="57"/>
      <c r="U14" s="99" t="s">
        <v>95</v>
      </c>
      <c r="V14" s="102">
        <f>MAX(BASE!Q57-'LAPSE MASS'!Q57,0)</f>
        <v>1546.912029034138</v>
      </c>
    </row>
    <row r="15" spans="1:22" ht="16.2" thickBot="1" x14ac:dyDescent="0.3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</row>
    <row r="16" spans="1:22" ht="16.2" thickBot="1" x14ac:dyDescent="0.35">
      <c r="A16" s="57"/>
      <c r="B16" s="123" t="s">
        <v>83</v>
      </c>
      <c r="C16" s="124"/>
      <c r="D16" s="124"/>
      <c r="E16" s="125"/>
      <c r="F16" s="57"/>
      <c r="G16" s="126" t="s">
        <v>84</v>
      </c>
      <c r="H16" s="127"/>
      <c r="I16" s="128"/>
      <c r="J16" s="57"/>
      <c r="K16" s="91" t="s">
        <v>85</v>
      </c>
      <c r="L16" s="57"/>
      <c r="M16" s="57"/>
      <c r="N16" s="116" t="s">
        <v>96</v>
      </c>
      <c r="O16" s="117"/>
      <c r="P16" s="118"/>
    </row>
    <row r="17" spans="1:16" x14ac:dyDescent="0.3">
      <c r="A17" s="57"/>
      <c r="B17" s="80" t="s">
        <v>86</v>
      </c>
      <c r="C17" s="70" cm="1">
        <f t="array" ref="C17">MMULT(MMULT(B4:D4,C8:E10),TRANSPOSE(B4:D4))</f>
        <v>4187021.2549534636</v>
      </c>
      <c r="D17" s="70" t="s">
        <v>78</v>
      </c>
      <c r="E17" s="92" t="s">
        <v>87</v>
      </c>
      <c r="F17" s="57"/>
      <c r="G17" s="76" t="s">
        <v>78</v>
      </c>
      <c r="H17" s="93" t="s">
        <v>88</v>
      </c>
      <c r="I17" s="93" t="s">
        <v>89</v>
      </c>
      <c r="J17" s="57"/>
      <c r="K17" s="129">
        <f>SQRT((E18*H18+E20*H19)*E18+(E18*I18+E20*I19)*E20)</f>
        <v>3022.2437831736252</v>
      </c>
      <c r="L17" s="57"/>
      <c r="M17" s="57"/>
      <c r="N17" s="67"/>
      <c r="O17" s="101" t="s">
        <v>97</v>
      </c>
      <c r="P17" s="101" t="s">
        <v>98</v>
      </c>
    </row>
    <row r="18" spans="1:16" x14ac:dyDescent="0.3">
      <c r="A18" s="57"/>
      <c r="B18" s="80" t="s">
        <v>90</v>
      </c>
      <c r="C18" s="70" cm="1">
        <f t="array" ref="C18">MMULT(MMULT(B4:D4,I8:K10),TRANSPOSE(B4:D4))</f>
        <v>4933673.8616084401</v>
      </c>
      <c r="D18" s="70" t="s">
        <v>78</v>
      </c>
      <c r="E18" s="94">
        <f>IF(V7&lt;V8,SQRT(C18),SQRT(C17))</f>
        <v>2221.187489071654</v>
      </c>
      <c r="F18" s="57"/>
      <c r="G18" s="95" t="s">
        <v>88</v>
      </c>
      <c r="H18" s="81">
        <v>1</v>
      </c>
      <c r="I18" s="70">
        <v>0.25</v>
      </c>
      <c r="J18" s="57"/>
      <c r="K18" s="57"/>
      <c r="N18" s="99" t="s">
        <v>97</v>
      </c>
      <c r="O18" s="102">
        <v>1</v>
      </c>
      <c r="P18" s="102">
        <v>0.75</v>
      </c>
    </row>
    <row r="19" spans="1:16" x14ac:dyDescent="0.3">
      <c r="A19" s="57"/>
      <c r="B19" s="67" t="s">
        <v>78</v>
      </c>
      <c r="C19" s="70" t="s">
        <v>78</v>
      </c>
      <c r="D19" s="70" t="s">
        <v>78</v>
      </c>
      <c r="E19" s="96" t="s">
        <v>91</v>
      </c>
      <c r="F19" s="57"/>
      <c r="G19" s="95" t="s">
        <v>89</v>
      </c>
      <c r="H19" s="81">
        <v>0.25</v>
      </c>
      <c r="I19" s="70">
        <v>1</v>
      </c>
      <c r="J19" s="57"/>
      <c r="K19" s="57"/>
      <c r="N19" s="99" t="s">
        <v>98</v>
      </c>
      <c r="O19" s="102">
        <v>0.75</v>
      </c>
      <c r="P19" s="102">
        <v>1</v>
      </c>
    </row>
    <row r="20" spans="1:16" x14ac:dyDescent="0.3">
      <c r="A20" s="57"/>
      <c r="B20" s="97" t="s">
        <v>89</v>
      </c>
      <c r="C20" s="70" cm="1">
        <f t="array" ref="C20">MMULT(MMULT(N4:Q4,O8:R11),TRANSPOSE(N4:Q4))</f>
        <v>2458807.6091380636</v>
      </c>
      <c r="D20" s="70" t="s">
        <v>78</v>
      </c>
      <c r="E20" s="94">
        <f>SQRT(C20)</f>
        <v>1568.0585477392301</v>
      </c>
      <c r="F20" s="57"/>
      <c r="G20" s="57"/>
      <c r="H20" s="57"/>
      <c r="I20" s="57"/>
      <c r="J20" s="57"/>
      <c r="K20" s="57"/>
    </row>
  </sheetData>
  <mergeCells count="7">
    <mergeCell ref="N16:P16"/>
    <mergeCell ref="B2:C2"/>
    <mergeCell ref="B6:D6"/>
    <mergeCell ref="H6:J6"/>
    <mergeCell ref="B16:E16"/>
    <mergeCell ref="G16:I16"/>
    <mergeCell ref="U4:V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SUMMARY</vt:lpstr>
      <vt:lpstr>RATES</vt:lpstr>
      <vt:lpstr>LIFE TABLE MALE FEMALE</vt:lpstr>
      <vt:lpstr>LIFE TABLE MALE</vt:lpstr>
      <vt:lpstr>DATA</vt:lpstr>
      <vt:lpstr>BASE</vt:lpstr>
      <vt:lpstr>EQ STRESS 1</vt:lpstr>
      <vt:lpstr>PROPERTY STRESS</vt:lpstr>
      <vt:lpstr>IR UP </vt:lpstr>
      <vt:lpstr>IR DOWN </vt:lpstr>
      <vt:lpstr>EXPENSE STRESS</vt:lpstr>
      <vt:lpstr>MORTALITY</vt:lpstr>
      <vt:lpstr>LIFE CAT</vt:lpstr>
      <vt:lpstr>LAPSE STRESS UP </vt:lpstr>
      <vt:lpstr>LAPSE STRESS DOWN</vt:lpstr>
      <vt:lpstr>LAPSE MASS</vt:lpstr>
      <vt:lpstr>BSCR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Gaspari</dc:creator>
  <cp:lastModifiedBy>Matteo Torba</cp:lastModifiedBy>
  <dcterms:created xsi:type="dcterms:W3CDTF">2024-05-03T09:02:43Z</dcterms:created>
  <dcterms:modified xsi:type="dcterms:W3CDTF">2024-05-17T13:16:49Z</dcterms:modified>
</cp:coreProperties>
</file>